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ndrewkomasinski/Library/CloudStorage/GoogleDrive-akomasinski@gmail.com/My Drive/English Teaching/GEL/Student Plans/Fall 2023/"/>
    </mc:Choice>
  </mc:AlternateContent>
  <xr:revisionPtr revIDLastSave="0" documentId="13_ncr:1_{D6F8C800-36A6-AB47-8D0B-B59C2D52486A}" xr6:coauthVersionLast="47" xr6:coauthVersionMax="47" xr10:uidLastSave="{00000000-0000-0000-0000-000000000000}"/>
  <bookViews>
    <workbookView xWindow="0" yWindow="500" windowWidth="28800" windowHeight="15820" activeTab="4" xr2:uid="{00000000-000D-0000-FFFF-FFFF00000000}"/>
  </bookViews>
  <sheets>
    <sheet name="JLookup" sheetId="28" state="hidden" r:id="rId1"/>
    <sheet name="Real Course List" sheetId="19" state="hidden" r:id="rId2"/>
    <sheet name="専攻一覧" sheetId="6" state="hidden" r:id="rId3"/>
    <sheet name="教育実習（小）" sheetId="20" state="hidden" r:id="rId4"/>
    <sheet name="1Screen" sheetId="27" r:id="rId5"/>
    <sheet name="授業リスト" sheetId="3" r:id="rId6"/>
    <sheet name="Log" sheetId="29" state="hidden" r:id="rId7"/>
    <sheet name="教養科目" sheetId="7" r:id="rId8"/>
    <sheet name="教育実習（中）" sheetId="21" r:id="rId9"/>
    <sheet name="実践教育科目" sheetId="23" r:id="rId10"/>
    <sheet name="教育学" sheetId="31" state="hidden" r:id="rId11"/>
    <sheet name="教育実践フィールド科目" sheetId="24" r:id="rId12"/>
    <sheet name="英語専攻" sheetId="26" r:id="rId13"/>
    <sheet name="理科専攻" sheetId="33" state="hidden" r:id="rId14"/>
    <sheet name="社会専攻" sheetId="32" state="hidden" r:id="rId15"/>
    <sheet name="小学校免許" sheetId="30" r:id="rId16"/>
    <sheet name="特例" sheetId="25" state="hidden" r:id="rId17"/>
  </sheets>
  <functionGroups builtInGroupCount="19"/>
  <definedNames>
    <definedName name="_xlnm.Print_Titles" localSheetId="4">'1Screen'!$1:$3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" i="19" l="1"/>
  <c r="O2" i="19"/>
  <c r="P2" i="19"/>
  <c r="Q2" i="19"/>
  <c r="R2" i="19"/>
  <c r="S2" i="19"/>
  <c r="T2" i="19"/>
  <c r="U2" i="19"/>
  <c r="V2" i="19"/>
  <c r="W2" i="19"/>
  <c r="X2" i="19"/>
  <c r="Y2" i="19"/>
  <c r="Z2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K82" i="19"/>
  <c r="J82" i="19"/>
  <c r="I82" i="19"/>
  <c r="H82" i="19"/>
  <c r="G82" i="19"/>
  <c r="F82" i="19"/>
  <c r="E82" i="19"/>
  <c r="D82" i="19"/>
  <c r="K81" i="19"/>
  <c r="J81" i="19"/>
  <c r="I81" i="19"/>
  <c r="H81" i="19"/>
  <c r="G81" i="19"/>
  <c r="F81" i="19"/>
  <c r="E81" i="19"/>
  <c r="D81" i="19"/>
  <c r="K80" i="19"/>
  <c r="J80" i="19"/>
  <c r="I80" i="19"/>
  <c r="H80" i="19"/>
  <c r="G80" i="19"/>
  <c r="F80" i="19"/>
  <c r="E80" i="19"/>
  <c r="D80" i="19"/>
  <c r="K79" i="19"/>
  <c r="J79" i="19"/>
  <c r="I79" i="19"/>
  <c r="H79" i="19"/>
  <c r="G79" i="19"/>
  <c r="F79" i="19"/>
  <c r="E79" i="19"/>
  <c r="D79" i="19"/>
  <c r="K78" i="19"/>
  <c r="J78" i="19"/>
  <c r="I78" i="19"/>
  <c r="H78" i="19"/>
  <c r="G78" i="19"/>
  <c r="F78" i="19"/>
  <c r="E78" i="19"/>
  <c r="D78" i="19"/>
  <c r="K77" i="19"/>
  <c r="J77" i="19"/>
  <c r="I77" i="19"/>
  <c r="H77" i="19"/>
  <c r="G77" i="19"/>
  <c r="F77" i="19"/>
  <c r="E77" i="19"/>
  <c r="D77" i="19"/>
  <c r="K76" i="19"/>
  <c r="J76" i="19"/>
  <c r="I76" i="19"/>
  <c r="H76" i="19"/>
  <c r="G76" i="19"/>
  <c r="F76" i="19"/>
  <c r="E76" i="19"/>
  <c r="D76" i="19"/>
  <c r="K75" i="19"/>
  <c r="J75" i="19"/>
  <c r="I75" i="19"/>
  <c r="H75" i="19"/>
  <c r="G75" i="19"/>
  <c r="F75" i="19"/>
  <c r="E75" i="19"/>
  <c r="D75" i="19"/>
  <c r="K74" i="19"/>
  <c r="J74" i="19"/>
  <c r="I74" i="19"/>
  <c r="H74" i="19"/>
  <c r="G74" i="19"/>
  <c r="F74" i="19"/>
  <c r="E74" i="19"/>
  <c r="D74" i="19"/>
  <c r="K73" i="19"/>
  <c r="J73" i="19"/>
  <c r="I73" i="19"/>
  <c r="H73" i="19"/>
  <c r="G73" i="19"/>
  <c r="F73" i="19"/>
  <c r="E73" i="19"/>
  <c r="D73" i="19"/>
  <c r="K72" i="19"/>
  <c r="J72" i="19"/>
  <c r="I72" i="19"/>
  <c r="H72" i="19"/>
  <c r="G72" i="19"/>
  <c r="F72" i="19"/>
  <c r="E72" i="19"/>
  <c r="D72" i="19"/>
  <c r="K71" i="19"/>
  <c r="J71" i="19"/>
  <c r="I71" i="19"/>
  <c r="H71" i="19"/>
  <c r="G71" i="19"/>
  <c r="F71" i="19"/>
  <c r="E71" i="19"/>
  <c r="D71" i="19"/>
  <c r="K70" i="19"/>
  <c r="J70" i="19"/>
  <c r="I70" i="19"/>
  <c r="H70" i="19"/>
  <c r="G70" i="19"/>
  <c r="F70" i="19"/>
  <c r="E70" i="19"/>
  <c r="D70" i="19"/>
  <c r="K69" i="19"/>
  <c r="J69" i="19"/>
  <c r="I69" i="19"/>
  <c r="H69" i="19"/>
  <c r="G69" i="19"/>
  <c r="F69" i="19"/>
  <c r="E69" i="19"/>
  <c r="D69" i="19"/>
  <c r="K68" i="19"/>
  <c r="J68" i="19"/>
  <c r="I68" i="19"/>
  <c r="H68" i="19"/>
  <c r="G68" i="19"/>
  <c r="F68" i="19"/>
  <c r="E68" i="19"/>
  <c r="D68" i="19"/>
  <c r="K67" i="19"/>
  <c r="J67" i="19"/>
  <c r="I67" i="19"/>
  <c r="H67" i="19"/>
  <c r="G67" i="19"/>
  <c r="F67" i="19"/>
  <c r="E67" i="19"/>
  <c r="D67" i="19"/>
  <c r="K66" i="19"/>
  <c r="J66" i="19"/>
  <c r="I66" i="19"/>
  <c r="H66" i="19"/>
  <c r="G66" i="19"/>
  <c r="F66" i="19"/>
  <c r="E66" i="19"/>
  <c r="D66" i="19"/>
  <c r="K65" i="19"/>
  <c r="J65" i="19"/>
  <c r="I65" i="19"/>
  <c r="H65" i="19"/>
  <c r="G65" i="19"/>
  <c r="F65" i="19"/>
  <c r="E65" i="19"/>
  <c r="D65" i="19"/>
  <c r="K64" i="19"/>
  <c r="J64" i="19"/>
  <c r="I64" i="19"/>
  <c r="H64" i="19"/>
  <c r="G64" i="19"/>
  <c r="F64" i="19"/>
  <c r="E64" i="19"/>
  <c r="D64" i="19"/>
  <c r="K63" i="19"/>
  <c r="J63" i="19"/>
  <c r="I63" i="19"/>
  <c r="H63" i="19"/>
  <c r="G63" i="19"/>
  <c r="F63" i="19"/>
  <c r="E63" i="19"/>
  <c r="D63" i="19"/>
  <c r="K62" i="19"/>
  <c r="J62" i="19"/>
  <c r="I62" i="19"/>
  <c r="H62" i="19"/>
  <c r="G62" i="19"/>
  <c r="F62" i="19"/>
  <c r="E62" i="19"/>
  <c r="D62" i="19"/>
  <c r="K61" i="19"/>
  <c r="J61" i="19"/>
  <c r="I61" i="19"/>
  <c r="H61" i="19"/>
  <c r="G61" i="19"/>
  <c r="F61" i="19"/>
  <c r="E61" i="19"/>
  <c r="D61" i="19"/>
  <c r="K60" i="19"/>
  <c r="J60" i="19"/>
  <c r="I60" i="19"/>
  <c r="H60" i="19"/>
  <c r="G60" i="19"/>
  <c r="F60" i="19"/>
  <c r="E60" i="19"/>
  <c r="D60" i="19"/>
  <c r="K59" i="19"/>
  <c r="J59" i="19"/>
  <c r="I59" i="19"/>
  <c r="H59" i="19"/>
  <c r="G59" i="19"/>
  <c r="F59" i="19"/>
  <c r="E59" i="19"/>
  <c r="D59" i="19"/>
  <c r="K58" i="19"/>
  <c r="J58" i="19"/>
  <c r="I58" i="19"/>
  <c r="H58" i="19"/>
  <c r="G58" i="19"/>
  <c r="F58" i="19"/>
  <c r="E58" i="19"/>
  <c r="D58" i="19"/>
  <c r="K57" i="19"/>
  <c r="J57" i="19"/>
  <c r="I57" i="19"/>
  <c r="H57" i="19"/>
  <c r="G57" i="19"/>
  <c r="F57" i="19"/>
  <c r="E57" i="19"/>
  <c r="D57" i="19"/>
  <c r="K56" i="19"/>
  <c r="J56" i="19"/>
  <c r="I56" i="19"/>
  <c r="H56" i="19"/>
  <c r="G56" i="19"/>
  <c r="F56" i="19"/>
  <c r="E56" i="19"/>
  <c r="D56" i="19"/>
  <c r="K55" i="19"/>
  <c r="J55" i="19"/>
  <c r="I55" i="19"/>
  <c r="H55" i="19"/>
  <c r="G55" i="19"/>
  <c r="F55" i="19"/>
  <c r="E55" i="19"/>
  <c r="D55" i="19"/>
  <c r="K54" i="19"/>
  <c r="J54" i="19"/>
  <c r="I54" i="19"/>
  <c r="H54" i="19"/>
  <c r="G54" i="19"/>
  <c r="F54" i="19"/>
  <c r="E54" i="19"/>
  <c r="D54" i="19"/>
  <c r="K53" i="19"/>
  <c r="J53" i="19"/>
  <c r="I53" i="19"/>
  <c r="H53" i="19"/>
  <c r="G53" i="19"/>
  <c r="F53" i="19"/>
  <c r="E53" i="19"/>
  <c r="D53" i="19"/>
  <c r="K52" i="19"/>
  <c r="J52" i="19"/>
  <c r="I52" i="19"/>
  <c r="H52" i="19"/>
  <c r="G52" i="19"/>
  <c r="F52" i="19"/>
  <c r="E52" i="19"/>
  <c r="D52" i="19"/>
  <c r="K51" i="19"/>
  <c r="J51" i="19"/>
  <c r="I51" i="19"/>
  <c r="H51" i="19"/>
  <c r="G51" i="19"/>
  <c r="F51" i="19"/>
  <c r="E51" i="19"/>
  <c r="D51" i="19"/>
  <c r="K50" i="19"/>
  <c r="J50" i="19"/>
  <c r="I50" i="19"/>
  <c r="H50" i="19"/>
  <c r="G50" i="19"/>
  <c r="F50" i="19"/>
  <c r="E50" i="19"/>
  <c r="D50" i="19"/>
  <c r="K49" i="19"/>
  <c r="J49" i="19"/>
  <c r="I49" i="19"/>
  <c r="H49" i="19"/>
  <c r="G49" i="19"/>
  <c r="F49" i="19"/>
  <c r="E49" i="19"/>
  <c r="D49" i="19"/>
  <c r="K48" i="19"/>
  <c r="J48" i="19"/>
  <c r="I48" i="19"/>
  <c r="H48" i="19"/>
  <c r="G48" i="19"/>
  <c r="F48" i="19"/>
  <c r="E48" i="19"/>
  <c r="D48" i="19"/>
  <c r="K47" i="19"/>
  <c r="J47" i="19"/>
  <c r="I47" i="19"/>
  <c r="H47" i="19"/>
  <c r="G47" i="19"/>
  <c r="F47" i="19"/>
  <c r="E47" i="19"/>
  <c r="D47" i="19"/>
  <c r="K46" i="19"/>
  <c r="J46" i="19"/>
  <c r="I46" i="19"/>
  <c r="H46" i="19"/>
  <c r="G46" i="19"/>
  <c r="F46" i="19"/>
  <c r="E46" i="19"/>
  <c r="D46" i="19"/>
  <c r="K45" i="19"/>
  <c r="J45" i="19"/>
  <c r="I45" i="19"/>
  <c r="H45" i="19"/>
  <c r="G45" i="19"/>
  <c r="F45" i="19"/>
  <c r="E45" i="19"/>
  <c r="D45" i="19"/>
  <c r="K44" i="19"/>
  <c r="J44" i="19"/>
  <c r="I44" i="19"/>
  <c r="H44" i="19"/>
  <c r="G44" i="19"/>
  <c r="F44" i="19"/>
  <c r="E44" i="19"/>
  <c r="D44" i="19"/>
  <c r="K43" i="19"/>
  <c r="J43" i="19"/>
  <c r="I43" i="19"/>
  <c r="H43" i="19"/>
  <c r="G43" i="19"/>
  <c r="F43" i="19"/>
  <c r="E43" i="19"/>
  <c r="D43" i="19"/>
  <c r="K42" i="19"/>
  <c r="J42" i="19"/>
  <c r="I42" i="19"/>
  <c r="H42" i="19"/>
  <c r="G42" i="19"/>
  <c r="F42" i="19"/>
  <c r="E42" i="19"/>
  <c r="D42" i="19"/>
  <c r="K41" i="19"/>
  <c r="J41" i="19"/>
  <c r="I41" i="19"/>
  <c r="H41" i="19"/>
  <c r="G41" i="19"/>
  <c r="F41" i="19"/>
  <c r="E41" i="19"/>
  <c r="D41" i="19"/>
  <c r="K40" i="19"/>
  <c r="J40" i="19"/>
  <c r="I40" i="19"/>
  <c r="H40" i="19"/>
  <c r="G40" i="19"/>
  <c r="F40" i="19"/>
  <c r="E40" i="19"/>
  <c r="D40" i="19"/>
  <c r="K39" i="19"/>
  <c r="J39" i="19"/>
  <c r="I39" i="19"/>
  <c r="H39" i="19"/>
  <c r="G39" i="19"/>
  <c r="F39" i="19"/>
  <c r="E39" i="19"/>
  <c r="D39" i="19"/>
  <c r="K38" i="19"/>
  <c r="J38" i="19"/>
  <c r="I38" i="19"/>
  <c r="H38" i="19"/>
  <c r="G38" i="19"/>
  <c r="F38" i="19"/>
  <c r="E38" i="19"/>
  <c r="D38" i="19"/>
  <c r="K37" i="19"/>
  <c r="J37" i="19"/>
  <c r="I37" i="19"/>
  <c r="H37" i="19"/>
  <c r="G37" i="19"/>
  <c r="F37" i="19"/>
  <c r="E37" i="19"/>
  <c r="D37" i="19"/>
  <c r="K36" i="19"/>
  <c r="J36" i="19"/>
  <c r="I36" i="19"/>
  <c r="H36" i="19"/>
  <c r="G36" i="19"/>
  <c r="F36" i="19"/>
  <c r="E36" i="19"/>
  <c r="D36" i="19"/>
  <c r="K35" i="19"/>
  <c r="J35" i="19"/>
  <c r="I35" i="19"/>
  <c r="H35" i="19"/>
  <c r="G35" i="19"/>
  <c r="F35" i="19"/>
  <c r="E35" i="19"/>
  <c r="D35" i="19"/>
  <c r="K34" i="19"/>
  <c r="J34" i="19"/>
  <c r="I34" i="19"/>
  <c r="H34" i="19"/>
  <c r="G34" i="19"/>
  <c r="F34" i="19"/>
  <c r="E34" i="19"/>
  <c r="D34" i="19"/>
  <c r="K33" i="19"/>
  <c r="J33" i="19"/>
  <c r="I33" i="19"/>
  <c r="H33" i="19"/>
  <c r="G33" i="19"/>
  <c r="F33" i="19"/>
  <c r="E33" i="19"/>
  <c r="D33" i="19"/>
  <c r="K32" i="19"/>
  <c r="J32" i="19"/>
  <c r="I32" i="19"/>
  <c r="H32" i="19"/>
  <c r="G32" i="19"/>
  <c r="F32" i="19"/>
  <c r="E32" i="19"/>
  <c r="D32" i="19"/>
  <c r="K31" i="19"/>
  <c r="J31" i="19"/>
  <c r="I31" i="19"/>
  <c r="H31" i="19"/>
  <c r="G31" i="19"/>
  <c r="F31" i="19"/>
  <c r="E31" i="19"/>
  <c r="D31" i="19"/>
  <c r="K30" i="19"/>
  <c r="J30" i="19"/>
  <c r="I30" i="19"/>
  <c r="H30" i="19"/>
  <c r="G30" i="19"/>
  <c r="F30" i="19"/>
  <c r="E30" i="19"/>
  <c r="D30" i="19"/>
  <c r="K29" i="19"/>
  <c r="J29" i="19"/>
  <c r="I29" i="19"/>
  <c r="H29" i="19"/>
  <c r="G29" i="19"/>
  <c r="F29" i="19"/>
  <c r="E29" i="19"/>
  <c r="D29" i="19"/>
  <c r="K28" i="19"/>
  <c r="J28" i="19"/>
  <c r="I28" i="19"/>
  <c r="H28" i="19"/>
  <c r="G28" i="19"/>
  <c r="F28" i="19"/>
  <c r="E28" i="19"/>
  <c r="D28" i="19"/>
  <c r="K27" i="19"/>
  <c r="J27" i="19"/>
  <c r="I27" i="19"/>
  <c r="H27" i="19"/>
  <c r="G27" i="19"/>
  <c r="F27" i="19"/>
  <c r="E27" i="19"/>
  <c r="D27" i="19"/>
  <c r="K26" i="19"/>
  <c r="J26" i="19"/>
  <c r="I26" i="19"/>
  <c r="H26" i="19"/>
  <c r="G26" i="19"/>
  <c r="F26" i="19"/>
  <c r="E26" i="19"/>
  <c r="D26" i="19"/>
  <c r="K25" i="19"/>
  <c r="J25" i="19"/>
  <c r="I25" i="19"/>
  <c r="H25" i="19"/>
  <c r="G25" i="19"/>
  <c r="F25" i="19"/>
  <c r="E25" i="19"/>
  <c r="D25" i="19"/>
  <c r="K24" i="19"/>
  <c r="J24" i="19"/>
  <c r="I24" i="19"/>
  <c r="H24" i="19"/>
  <c r="G24" i="19"/>
  <c r="F24" i="19"/>
  <c r="E24" i="19"/>
  <c r="D24" i="19"/>
  <c r="K23" i="19"/>
  <c r="J23" i="19"/>
  <c r="I23" i="19"/>
  <c r="H23" i="19"/>
  <c r="G23" i="19"/>
  <c r="F23" i="19"/>
  <c r="E23" i="19"/>
  <c r="D23" i="19"/>
  <c r="K22" i="19"/>
  <c r="J22" i="19"/>
  <c r="I22" i="19"/>
  <c r="H22" i="19"/>
  <c r="G22" i="19"/>
  <c r="F22" i="19"/>
  <c r="E22" i="19"/>
  <c r="D22" i="19"/>
  <c r="K21" i="19"/>
  <c r="J21" i="19"/>
  <c r="I21" i="19"/>
  <c r="H21" i="19"/>
  <c r="G21" i="19"/>
  <c r="F21" i="19"/>
  <c r="E21" i="19"/>
  <c r="D21" i="19"/>
  <c r="K20" i="19"/>
  <c r="J20" i="19"/>
  <c r="I20" i="19"/>
  <c r="H20" i="19"/>
  <c r="G20" i="19"/>
  <c r="F20" i="19"/>
  <c r="E20" i="19"/>
  <c r="D20" i="19"/>
  <c r="K19" i="19"/>
  <c r="J19" i="19"/>
  <c r="I19" i="19"/>
  <c r="H19" i="19"/>
  <c r="G19" i="19"/>
  <c r="F19" i="19"/>
  <c r="E19" i="19"/>
  <c r="D19" i="19"/>
  <c r="K18" i="19"/>
  <c r="J18" i="19"/>
  <c r="I18" i="19"/>
  <c r="H18" i="19"/>
  <c r="G18" i="19"/>
  <c r="F18" i="19"/>
  <c r="E18" i="19"/>
  <c r="D18" i="19"/>
  <c r="K17" i="19"/>
  <c r="J17" i="19"/>
  <c r="I17" i="19"/>
  <c r="H17" i="19"/>
  <c r="G17" i="19"/>
  <c r="F17" i="19"/>
  <c r="E17" i="19"/>
  <c r="D17" i="19"/>
  <c r="K16" i="19"/>
  <c r="J16" i="19"/>
  <c r="I16" i="19"/>
  <c r="H16" i="19"/>
  <c r="G16" i="19"/>
  <c r="F16" i="19"/>
  <c r="E16" i="19"/>
  <c r="D16" i="19"/>
  <c r="K15" i="19"/>
  <c r="J15" i="19"/>
  <c r="I15" i="19"/>
  <c r="H15" i="19"/>
  <c r="G15" i="19"/>
  <c r="F15" i="19"/>
  <c r="E15" i="19"/>
  <c r="D15" i="19"/>
  <c r="K14" i="19"/>
  <c r="J14" i="19"/>
  <c r="I14" i="19"/>
  <c r="H14" i="19"/>
  <c r="G14" i="19"/>
  <c r="F14" i="19"/>
  <c r="E14" i="19"/>
  <c r="D14" i="19"/>
  <c r="K13" i="19"/>
  <c r="J13" i="19"/>
  <c r="I13" i="19"/>
  <c r="H13" i="19"/>
  <c r="G13" i="19"/>
  <c r="F13" i="19"/>
  <c r="E13" i="19"/>
  <c r="D13" i="19"/>
  <c r="K12" i="19"/>
  <c r="J12" i="19"/>
  <c r="I12" i="19"/>
  <c r="H12" i="19"/>
  <c r="G12" i="19"/>
  <c r="F12" i="19"/>
  <c r="E12" i="19"/>
  <c r="D12" i="19"/>
  <c r="K11" i="19"/>
  <c r="J11" i="19"/>
  <c r="I11" i="19"/>
  <c r="H11" i="19"/>
  <c r="G11" i="19"/>
  <c r="F11" i="19"/>
  <c r="E11" i="19"/>
  <c r="D11" i="19"/>
  <c r="K10" i="19"/>
  <c r="J10" i="19"/>
  <c r="I10" i="19"/>
  <c r="H10" i="19"/>
  <c r="G10" i="19"/>
  <c r="F10" i="19"/>
  <c r="E10" i="19"/>
  <c r="D10" i="19"/>
  <c r="K9" i="19"/>
  <c r="J9" i="19"/>
  <c r="I9" i="19"/>
  <c r="H9" i="19"/>
  <c r="G9" i="19"/>
  <c r="F9" i="19"/>
  <c r="E9" i="19"/>
  <c r="D9" i="19"/>
  <c r="K8" i="19"/>
  <c r="J8" i="19"/>
  <c r="I8" i="19"/>
  <c r="H8" i="19"/>
  <c r="G8" i="19"/>
  <c r="F8" i="19"/>
  <c r="E8" i="19"/>
  <c r="D8" i="19"/>
  <c r="K7" i="19"/>
  <c r="J7" i="19"/>
  <c r="I7" i="19"/>
  <c r="H7" i="19"/>
  <c r="G7" i="19"/>
  <c r="F7" i="19"/>
  <c r="E7" i="19"/>
  <c r="D7" i="19"/>
  <c r="K6" i="19"/>
  <c r="J6" i="19"/>
  <c r="I6" i="19"/>
  <c r="H6" i="19"/>
  <c r="G6" i="19"/>
  <c r="F6" i="19"/>
  <c r="E6" i="19"/>
  <c r="D6" i="19"/>
  <c r="K5" i="19"/>
  <c r="J5" i="19"/>
  <c r="I5" i="19"/>
  <c r="H5" i="19"/>
  <c r="G5" i="19"/>
  <c r="F5" i="19"/>
  <c r="E5" i="19"/>
  <c r="D5" i="19"/>
  <c r="K4" i="19"/>
  <c r="J4" i="19"/>
  <c r="I4" i="19"/>
  <c r="H4" i="19"/>
  <c r="G4" i="19"/>
  <c r="F4" i="19"/>
  <c r="E4" i="19"/>
  <c r="D4" i="19"/>
  <c r="K3" i="19"/>
  <c r="J3" i="19"/>
  <c r="I3" i="19"/>
  <c r="H3" i="19"/>
  <c r="G3" i="19"/>
  <c r="F3" i="19"/>
  <c r="E3" i="19"/>
  <c r="D3" i="19"/>
  <c r="K2" i="19"/>
  <c r="J2" i="19"/>
  <c r="I2" i="19"/>
  <c r="H2" i="19"/>
  <c r="G2" i="19"/>
  <c r="F2" i="19"/>
  <c r="E2" i="19"/>
  <c r="D2" i="19"/>
  <c r="Z22" i="25" l="1"/>
  <c r="Y22" i="25"/>
  <c r="X22" i="25"/>
  <c r="W22" i="25"/>
  <c r="V22" i="25"/>
  <c r="U22" i="25"/>
  <c r="T22" i="25"/>
  <c r="S22" i="25"/>
  <c r="R22" i="25"/>
  <c r="Q22" i="25"/>
  <c r="P22" i="25"/>
  <c r="O22" i="25"/>
  <c r="N22" i="25"/>
  <c r="K22" i="25"/>
  <c r="J22" i="25"/>
  <c r="I22" i="25"/>
  <c r="H22" i="25"/>
  <c r="G22" i="25"/>
  <c r="F22" i="25"/>
  <c r="E22" i="25"/>
  <c r="D22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K21" i="25"/>
  <c r="J21" i="25"/>
  <c r="I21" i="25"/>
  <c r="H21" i="25"/>
  <c r="G21" i="25"/>
  <c r="F21" i="25"/>
  <c r="E21" i="25"/>
  <c r="D21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K20" i="25"/>
  <c r="J20" i="25"/>
  <c r="I20" i="25"/>
  <c r="H20" i="25"/>
  <c r="G20" i="25"/>
  <c r="F20" i="25"/>
  <c r="E20" i="25"/>
  <c r="D20" i="25"/>
  <c r="Z19" i="25"/>
  <c r="Y19" i="25"/>
  <c r="X19" i="25"/>
  <c r="W19" i="25"/>
  <c r="V19" i="25"/>
  <c r="U19" i="25"/>
  <c r="T19" i="25"/>
  <c r="S19" i="25"/>
  <c r="R19" i="25"/>
  <c r="Q19" i="25"/>
  <c r="P19" i="25"/>
  <c r="O19" i="25"/>
  <c r="N19" i="25"/>
  <c r="K19" i="25"/>
  <c r="J19" i="25"/>
  <c r="I19" i="25"/>
  <c r="H19" i="25"/>
  <c r="G19" i="25"/>
  <c r="F19" i="25"/>
  <c r="E19" i="25"/>
  <c r="D19" i="25"/>
  <c r="Z18" i="25"/>
  <c r="Y18" i="25"/>
  <c r="X18" i="25"/>
  <c r="W18" i="25"/>
  <c r="V18" i="25"/>
  <c r="U18" i="25"/>
  <c r="T18" i="25"/>
  <c r="S18" i="25"/>
  <c r="R18" i="25"/>
  <c r="Q18" i="25"/>
  <c r="P18" i="25"/>
  <c r="O18" i="25"/>
  <c r="N18" i="25"/>
  <c r="K18" i="25"/>
  <c r="J18" i="25"/>
  <c r="I18" i="25"/>
  <c r="H18" i="25"/>
  <c r="G18" i="25"/>
  <c r="F18" i="25"/>
  <c r="E18" i="25"/>
  <c r="D18" i="25"/>
  <c r="Z17" i="25"/>
  <c r="Y17" i="25"/>
  <c r="X17" i="25"/>
  <c r="W17" i="25"/>
  <c r="V17" i="25"/>
  <c r="U17" i="25"/>
  <c r="T17" i="25"/>
  <c r="S17" i="25"/>
  <c r="R17" i="25"/>
  <c r="Q17" i="25"/>
  <c r="P17" i="25"/>
  <c r="O17" i="25"/>
  <c r="N17" i="25"/>
  <c r="K17" i="25"/>
  <c r="J17" i="25"/>
  <c r="I17" i="25"/>
  <c r="H17" i="25"/>
  <c r="G17" i="25"/>
  <c r="F17" i="25"/>
  <c r="E17" i="25"/>
  <c r="D17" i="25"/>
  <c r="Z16" i="25"/>
  <c r="Y16" i="25"/>
  <c r="X16" i="25"/>
  <c r="W16" i="25"/>
  <c r="V16" i="25"/>
  <c r="U16" i="25"/>
  <c r="T16" i="25"/>
  <c r="S16" i="25"/>
  <c r="R16" i="25"/>
  <c r="Q16" i="25"/>
  <c r="P16" i="25"/>
  <c r="O16" i="25"/>
  <c r="N16" i="25"/>
  <c r="K16" i="25"/>
  <c r="J16" i="25"/>
  <c r="I16" i="25"/>
  <c r="H16" i="25"/>
  <c r="G16" i="25"/>
  <c r="F16" i="25"/>
  <c r="E16" i="25"/>
  <c r="D16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K15" i="25"/>
  <c r="J15" i="25"/>
  <c r="I15" i="25"/>
  <c r="H15" i="25"/>
  <c r="G15" i="25"/>
  <c r="F15" i="25"/>
  <c r="E15" i="25"/>
  <c r="D15" i="25"/>
  <c r="Z14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K14" i="25"/>
  <c r="J14" i="25"/>
  <c r="I14" i="25"/>
  <c r="H14" i="25"/>
  <c r="G14" i="25"/>
  <c r="F14" i="25"/>
  <c r="E14" i="25"/>
  <c r="D14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K13" i="25"/>
  <c r="J13" i="25"/>
  <c r="I13" i="25"/>
  <c r="H13" i="25"/>
  <c r="G13" i="25"/>
  <c r="F13" i="25"/>
  <c r="E13" i="25"/>
  <c r="D13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K12" i="25"/>
  <c r="J12" i="25"/>
  <c r="I12" i="25"/>
  <c r="H12" i="25"/>
  <c r="G12" i="25"/>
  <c r="F12" i="25"/>
  <c r="E12" i="25"/>
  <c r="D12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K11" i="25"/>
  <c r="J11" i="25"/>
  <c r="I11" i="25"/>
  <c r="H11" i="25"/>
  <c r="G11" i="25"/>
  <c r="F11" i="25"/>
  <c r="E11" i="25"/>
  <c r="D11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K10" i="25"/>
  <c r="J10" i="25"/>
  <c r="I10" i="25"/>
  <c r="H10" i="25"/>
  <c r="G10" i="25"/>
  <c r="F10" i="25"/>
  <c r="E10" i="25"/>
  <c r="D10" i="25"/>
  <c r="Z9" i="25"/>
  <c r="Y9" i="25"/>
  <c r="X9" i="25"/>
  <c r="W9" i="25"/>
  <c r="V9" i="25"/>
  <c r="U9" i="25"/>
  <c r="T9" i="25"/>
  <c r="S9" i="25"/>
  <c r="R9" i="25"/>
  <c r="Q9" i="25"/>
  <c r="P9" i="25"/>
  <c r="O9" i="25"/>
  <c r="N9" i="25"/>
  <c r="K9" i="25"/>
  <c r="J9" i="25"/>
  <c r="I9" i="25"/>
  <c r="H9" i="25"/>
  <c r="G9" i="25"/>
  <c r="F9" i="25"/>
  <c r="E9" i="25"/>
  <c r="D9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K8" i="25"/>
  <c r="J8" i="25"/>
  <c r="I8" i="25"/>
  <c r="H8" i="25"/>
  <c r="G8" i="25"/>
  <c r="F8" i="25"/>
  <c r="E8" i="25"/>
  <c r="D8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K7" i="25"/>
  <c r="J7" i="25"/>
  <c r="I7" i="25"/>
  <c r="H7" i="25"/>
  <c r="G7" i="25"/>
  <c r="F7" i="25"/>
  <c r="E7" i="25"/>
  <c r="D7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K6" i="25"/>
  <c r="J6" i="25"/>
  <c r="I6" i="25"/>
  <c r="H6" i="25"/>
  <c r="G6" i="25"/>
  <c r="F6" i="25"/>
  <c r="E6" i="25"/>
  <c r="D6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K5" i="25"/>
  <c r="J5" i="25"/>
  <c r="I5" i="25"/>
  <c r="H5" i="25"/>
  <c r="G5" i="25"/>
  <c r="F5" i="25"/>
  <c r="E5" i="25"/>
  <c r="D5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K4" i="25"/>
  <c r="J4" i="25"/>
  <c r="I4" i="25"/>
  <c r="H4" i="25"/>
  <c r="G4" i="25"/>
  <c r="F4" i="25"/>
  <c r="E4" i="25"/>
  <c r="D4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K3" i="25"/>
  <c r="J3" i="25"/>
  <c r="I3" i="25"/>
  <c r="H3" i="25"/>
  <c r="G3" i="25"/>
  <c r="F3" i="25"/>
  <c r="E3" i="25"/>
  <c r="D3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K2" i="25"/>
  <c r="J2" i="25"/>
  <c r="I2" i="25"/>
  <c r="H2" i="25"/>
  <c r="G2" i="25"/>
  <c r="F2" i="25"/>
  <c r="E2" i="25"/>
  <c r="D2" i="25"/>
  <c r="K27" i="27" l="1"/>
  <c r="J27" i="27"/>
  <c r="I27" i="27"/>
  <c r="H27" i="27"/>
  <c r="G27" i="27"/>
  <c r="F27" i="27"/>
  <c r="E27" i="27"/>
  <c r="D27" i="27"/>
  <c r="K15" i="27"/>
  <c r="J15" i="27"/>
  <c r="I15" i="27"/>
  <c r="H15" i="27"/>
  <c r="G15" i="27"/>
  <c r="F15" i="27"/>
  <c r="E15" i="27"/>
  <c r="D15" i="27"/>
  <c r="K210" i="27"/>
  <c r="J210" i="27"/>
  <c r="I210" i="27"/>
  <c r="H210" i="27"/>
  <c r="G210" i="27"/>
  <c r="F210" i="27"/>
  <c r="E210" i="27"/>
  <c r="D210" i="27"/>
  <c r="K209" i="27"/>
  <c r="J209" i="27"/>
  <c r="I209" i="27"/>
  <c r="H209" i="27"/>
  <c r="G209" i="27"/>
  <c r="F209" i="27"/>
  <c r="E209" i="27"/>
  <c r="D209" i="27"/>
  <c r="K208" i="27"/>
  <c r="J208" i="27"/>
  <c r="I208" i="27"/>
  <c r="H208" i="27"/>
  <c r="G208" i="27"/>
  <c r="F208" i="27"/>
  <c r="E208" i="27"/>
  <c r="D208" i="27"/>
  <c r="K207" i="27"/>
  <c r="J207" i="27"/>
  <c r="I207" i="27"/>
  <c r="H207" i="27"/>
  <c r="G207" i="27"/>
  <c r="F207" i="27"/>
  <c r="E207" i="27"/>
  <c r="D207" i="27"/>
  <c r="K206" i="27"/>
  <c r="J206" i="27"/>
  <c r="I206" i="27"/>
  <c r="H206" i="27"/>
  <c r="G206" i="27"/>
  <c r="F206" i="27"/>
  <c r="E206" i="27"/>
  <c r="D206" i="27"/>
  <c r="K205" i="27"/>
  <c r="J205" i="27"/>
  <c r="I205" i="27"/>
  <c r="H205" i="27"/>
  <c r="G205" i="27"/>
  <c r="F205" i="27"/>
  <c r="E205" i="27"/>
  <c r="D205" i="27"/>
  <c r="K204" i="27"/>
  <c r="J204" i="27"/>
  <c r="I204" i="27"/>
  <c r="H204" i="27"/>
  <c r="G204" i="27"/>
  <c r="F204" i="27"/>
  <c r="E204" i="27"/>
  <c r="D204" i="27"/>
  <c r="K203" i="27"/>
  <c r="J203" i="27"/>
  <c r="I203" i="27"/>
  <c r="H203" i="27"/>
  <c r="G203" i="27"/>
  <c r="F203" i="27"/>
  <c r="E203" i="27"/>
  <c r="D203" i="27"/>
  <c r="K202" i="27"/>
  <c r="J202" i="27"/>
  <c r="I202" i="27"/>
  <c r="H202" i="27"/>
  <c r="G202" i="27"/>
  <c r="F202" i="27"/>
  <c r="E202" i="27"/>
  <c r="D202" i="27"/>
  <c r="K201" i="27"/>
  <c r="J201" i="27"/>
  <c r="I201" i="27"/>
  <c r="H201" i="27"/>
  <c r="G201" i="27"/>
  <c r="F201" i="27"/>
  <c r="E201" i="27"/>
  <c r="D201" i="27"/>
  <c r="K200" i="27"/>
  <c r="J200" i="27"/>
  <c r="I200" i="27"/>
  <c r="H200" i="27"/>
  <c r="G200" i="27"/>
  <c r="F200" i="27"/>
  <c r="E200" i="27"/>
  <c r="D200" i="27"/>
  <c r="K199" i="27"/>
  <c r="J199" i="27"/>
  <c r="I199" i="27"/>
  <c r="H199" i="27"/>
  <c r="G199" i="27"/>
  <c r="F199" i="27"/>
  <c r="E199" i="27"/>
  <c r="D199" i="27"/>
  <c r="K198" i="27"/>
  <c r="J198" i="27"/>
  <c r="I198" i="27"/>
  <c r="H198" i="27"/>
  <c r="G198" i="27"/>
  <c r="F198" i="27"/>
  <c r="E198" i="27"/>
  <c r="D198" i="27"/>
  <c r="K197" i="27"/>
  <c r="J197" i="27"/>
  <c r="I197" i="27"/>
  <c r="H197" i="27"/>
  <c r="G197" i="27"/>
  <c r="F197" i="27"/>
  <c r="E197" i="27"/>
  <c r="D197" i="27"/>
  <c r="K196" i="27"/>
  <c r="J196" i="27"/>
  <c r="I196" i="27"/>
  <c r="H196" i="27"/>
  <c r="G196" i="27"/>
  <c r="F196" i="27"/>
  <c r="E196" i="27"/>
  <c r="D196" i="27"/>
  <c r="K195" i="27"/>
  <c r="J195" i="27"/>
  <c r="I195" i="27"/>
  <c r="H195" i="27"/>
  <c r="G195" i="27"/>
  <c r="F195" i="27"/>
  <c r="E195" i="27"/>
  <c r="D195" i="27"/>
  <c r="K194" i="27"/>
  <c r="J194" i="27"/>
  <c r="I194" i="27"/>
  <c r="H194" i="27"/>
  <c r="G194" i="27"/>
  <c r="F194" i="27"/>
  <c r="E194" i="27"/>
  <c r="D194" i="27"/>
  <c r="K193" i="27"/>
  <c r="J193" i="27"/>
  <c r="I193" i="27"/>
  <c r="H193" i="27"/>
  <c r="G193" i="27"/>
  <c r="F193" i="27"/>
  <c r="E193" i="27"/>
  <c r="D193" i="27"/>
  <c r="K192" i="27"/>
  <c r="J192" i="27"/>
  <c r="I192" i="27"/>
  <c r="H192" i="27"/>
  <c r="G192" i="27"/>
  <c r="F192" i="27"/>
  <c r="E192" i="27"/>
  <c r="D192" i="27"/>
  <c r="K191" i="27"/>
  <c r="J191" i="27"/>
  <c r="I191" i="27"/>
  <c r="H191" i="27"/>
  <c r="G191" i="27"/>
  <c r="F191" i="27"/>
  <c r="E191" i="27"/>
  <c r="D191" i="27"/>
  <c r="K190" i="27"/>
  <c r="J190" i="27"/>
  <c r="I190" i="27"/>
  <c r="H190" i="27"/>
  <c r="F190" i="27"/>
  <c r="E190" i="27"/>
  <c r="D190" i="27"/>
  <c r="K189" i="27"/>
  <c r="J189" i="27"/>
  <c r="I189" i="27"/>
  <c r="H189" i="27"/>
  <c r="G189" i="27"/>
  <c r="F189" i="27"/>
  <c r="E189" i="27"/>
  <c r="D189" i="27"/>
  <c r="K188" i="27"/>
  <c r="J188" i="27"/>
  <c r="I188" i="27"/>
  <c r="H188" i="27"/>
  <c r="G188" i="27"/>
  <c r="F188" i="27"/>
  <c r="E188" i="27"/>
  <c r="D188" i="27"/>
  <c r="K184" i="27"/>
  <c r="J184" i="27"/>
  <c r="I184" i="27"/>
  <c r="H184" i="27"/>
  <c r="G184" i="27"/>
  <c r="F184" i="27"/>
  <c r="E184" i="27"/>
  <c r="D184" i="27"/>
  <c r="K183" i="27"/>
  <c r="J183" i="27"/>
  <c r="I183" i="27"/>
  <c r="H183" i="27"/>
  <c r="G183" i="27"/>
  <c r="F183" i="27"/>
  <c r="E183" i="27"/>
  <c r="D183" i="27"/>
  <c r="K182" i="27"/>
  <c r="J182" i="27"/>
  <c r="I182" i="27"/>
  <c r="H182" i="27"/>
  <c r="G182" i="27"/>
  <c r="F182" i="27"/>
  <c r="E182" i="27"/>
  <c r="D182" i="27"/>
  <c r="K181" i="27"/>
  <c r="J181" i="27"/>
  <c r="I181" i="27"/>
  <c r="H181" i="27"/>
  <c r="G181" i="27"/>
  <c r="F181" i="27"/>
  <c r="E181" i="27"/>
  <c r="D181" i="27"/>
  <c r="K180" i="27"/>
  <c r="J180" i="27"/>
  <c r="I180" i="27"/>
  <c r="H180" i="27"/>
  <c r="G180" i="27"/>
  <c r="F180" i="27"/>
  <c r="E180" i="27"/>
  <c r="D180" i="27"/>
  <c r="K179" i="27"/>
  <c r="J179" i="27"/>
  <c r="I179" i="27"/>
  <c r="H179" i="27"/>
  <c r="G179" i="27"/>
  <c r="F179" i="27"/>
  <c r="E179" i="27"/>
  <c r="D179" i="27"/>
  <c r="K178" i="27"/>
  <c r="J178" i="27"/>
  <c r="I178" i="27"/>
  <c r="H178" i="27"/>
  <c r="G178" i="27"/>
  <c r="F178" i="27"/>
  <c r="E178" i="27"/>
  <c r="D178" i="27"/>
  <c r="K177" i="27"/>
  <c r="J177" i="27"/>
  <c r="I177" i="27"/>
  <c r="H177" i="27"/>
  <c r="G177" i="27"/>
  <c r="F177" i="27"/>
  <c r="E177" i="27"/>
  <c r="D177" i="27"/>
  <c r="K176" i="27"/>
  <c r="J176" i="27"/>
  <c r="I176" i="27"/>
  <c r="H176" i="27"/>
  <c r="G176" i="27"/>
  <c r="F176" i="27"/>
  <c r="E176" i="27"/>
  <c r="D176" i="27"/>
  <c r="K175" i="27"/>
  <c r="J175" i="27"/>
  <c r="I175" i="27"/>
  <c r="H175" i="27"/>
  <c r="G175" i="27"/>
  <c r="F175" i="27"/>
  <c r="E175" i="27"/>
  <c r="D175" i="27"/>
  <c r="K174" i="27"/>
  <c r="J174" i="27"/>
  <c r="I174" i="27"/>
  <c r="H174" i="27"/>
  <c r="G174" i="27"/>
  <c r="F174" i="27"/>
  <c r="E174" i="27"/>
  <c r="D174" i="27"/>
  <c r="K173" i="27"/>
  <c r="J173" i="27"/>
  <c r="I173" i="27"/>
  <c r="H173" i="27"/>
  <c r="G173" i="27"/>
  <c r="F173" i="27"/>
  <c r="E173" i="27"/>
  <c r="D173" i="27"/>
  <c r="K172" i="27"/>
  <c r="J172" i="27"/>
  <c r="I172" i="27"/>
  <c r="H172" i="27"/>
  <c r="G172" i="27"/>
  <c r="F172" i="27"/>
  <c r="E172" i="27"/>
  <c r="D172" i="27"/>
  <c r="K171" i="27"/>
  <c r="J171" i="27"/>
  <c r="I171" i="27"/>
  <c r="H171" i="27"/>
  <c r="G171" i="27"/>
  <c r="F171" i="27"/>
  <c r="E171" i="27"/>
  <c r="D171" i="27"/>
  <c r="K170" i="27"/>
  <c r="J170" i="27"/>
  <c r="I170" i="27"/>
  <c r="H170" i="27"/>
  <c r="G170" i="27"/>
  <c r="F170" i="27"/>
  <c r="E170" i="27"/>
  <c r="D170" i="27"/>
  <c r="K169" i="27"/>
  <c r="J169" i="27"/>
  <c r="I169" i="27"/>
  <c r="H169" i="27"/>
  <c r="G169" i="27"/>
  <c r="F169" i="27"/>
  <c r="E169" i="27"/>
  <c r="D169" i="27"/>
  <c r="K168" i="27"/>
  <c r="J168" i="27"/>
  <c r="I168" i="27"/>
  <c r="H168" i="27"/>
  <c r="G168" i="27"/>
  <c r="F168" i="27"/>
  <c r="E168" i="27"/>
  <c r="D168" i="27"/>
  <c r="K167" i="27"/>
  <c r="J167" i="27"/>
  <c r="I167" i="27"/>
  <c r="H167" i="27"/>
  <c r="G167" i="27"/>
  <c r="F167" i="27"/>
  <c r="E167" i="27"/>
  <c r="D167" i="27"/>
  <c r="K166" i="27"/>
  <c r="J166" i="27"/>
  <c r="I166" i="27"/>
  <c r="H166" i="27"/>
  <c r="G166" i="27"/>
  <c r="F166" i="27"/>
  <c r="E166" i="27"/>
  <c r="D166" i="27"/>
  <c r="K165" i="27"/>
  <c r="J165" i="27"/>
  <c r="I165" i="27"/>
  <c r="H165" i="27"/>
  <c r="G165" i="27"/>
  <c r="F165" i="27"/>
  <c r="E165" i="27"/>
  <c r="D165" i="27"/>
  <c r="K164" i="27"/>
  <c r="J164" i="27"/>
  <c r="I164" i="27"/>
  <c r="H164" i="27"/>
  <c r="G164" i="27"/>
  <c r="F164" i="27"/>
  <c r="E164" i="27"/>
  <c r="D164" i="27"/>
  <c r="K163" i="27"/>
  <c r="J163" i="27"/>
  <c r="I163" i="27"/>
  <c r="H163" i="27"/>
  <c r="G163" i="27"/>
  <c r="F163" i="27"/>
  <c r="E163" i="27"/>
  <c r="D163" i="27"/>
  <c r="K162" i="27"/>
  <c r="J162" i="27"/>
  <c r="I162" i="27"/>
  <c r="H162" i="27"/>
  <c r="G162" i="27"/>
  <c r="F162" i="27"/>
  <c r="E162" i="27"/>
  <c r="D162" i="27"/>
  <c r="K158" i="27"/>
  <c r="J158" i="27"/>
  <c r="I158" i="27"/>
  <c r="H158" i="27"/>
  <c r="G158" i="27"/>
  <c r="F158" i="27"/>
  <c r="E158" i="27"/>
  <c r="D158" i="27"/>
  <c r="K157" i="27"/>
  <c r="J157" i="27"/>
  <c r="I157" i="27"/>
  <c r="H157" i="27"/>
  <c r="G157" i="27"/>
  <c r="F157" i="27"/>
  <c r="E157" i="27"/>
  <c r="D157" i="27"/>
  <c r="K156" i="27"/>
  <c r="J156" i="27"/>
  <c r="I156" i="27"/>
  <c r="H156" i="27"/>
  <c r="G156" i="27"/>
  <c r="F156" i="27"/>
  <c r="E156" i="27"/>
  <c r="D156" i="27"/>
  <c r="K155" i="27"/>
  <c r="J155" i="27"/>
  <c r="I155" i="27"/>
  <c r="H155" i="27"/>
  <c r="G155" i="27"/>
  <c r="F155" i="27"/>
  <c r="E155" i="27"/>
  <c r="D155" i="27"/>
  <c r="K154" i="27"/>
  <c r="J154" i="27"/>
  <c r="I154" i="27"/>
  <c r="H154" i="27"/>
  <c r="G154" i="27"/>
  <c r="F154" i="27"/>
  <c r="E154" i="27"/>
  <c r="D154" i="27"/>
  <c r="K153" i="27"/>
  <c r="J153" i="27"/>
  <c r="I153" i="27"/>
  <c r="H153" i="27"/>
  <c r="G153" i="27"/>
  <c r="F153" i="27"/>
  <c r="E153" i="27"/>
  <c r="D153" i="27"/>
  <c r="K152" i="27"/>
  <c r="J152" i="27"/>
  <c r="I152" i="27"/>
  <c r="H152" i="27"/>
  <c r="G152" i="27"/>
  <c r="F152" i="27"/>
  <c r="E152" i="27"/>
  <c r="D152" i="27"/>
  <c r="K151" i="27"/>
  <c r="J151" i="27"/>
  <c r="I151" i="27"/>
  <c r="H151" i="27"/>
  <c r="G151" i="27"/>
  <c r="F151" i="27"/>
  <c r="E151" i="27"/>
  <c r="D151" i="27"/>
  <c r="K150" i="27"/>
  <c r="J150" i="27"/>
  <c r="I150" i="27"/>
  <c r="H150" i="27"/>
  <c r="G150" i="27"/>
  <c r="F150" i="27"/>
  <c r="E150" i="27"/>
  <c r="D150" i="27"/>
  <c r="K149" i="27"/>
  <c r="J149" i="27"/>
  <c r="I149" i="27"/>
  <c r="H149" i="27"/>
  <c r="G149" i="27"/>
  <c r="F149" i="27"/>
  <c r="E149" i="27"/>
  <c r="D149" i="27"/>
  <c r="K148" i="27"/>
  <c r="J148" i="27"/>
  <c r="I148" i="27"/>
  <c r="H148" i="27"/>
  <c r="G148" i="27"/>
  <c r="F148" i="27"/>
  <c r="E148" i="27"/>
  <c r="D148" i="27"/>
  <c r="K147" i="27"/>
  <c r="J147" i="27"/>
  <c r="I147" i="27"/>
  <c r="H147" i="27"/>
  <c r="G147" i="27"/>
  <c r="F147" i="27"/>
  <c r="E147" i="27"/>
  <c r="D147" i="27"/>
  <c r="K146" i="27"/>
  <c r="J146" i="27"/>
  <c r="I146" i="27"/>
  <c r="H146" i="27"/>
  <c r="G146" i="27"/>
  <c r="F146" i="27"/>
  <c r="E146" i="27"/>
  <c r="D146" i="27"/>
  <c r="K145" i="27"/>
  <c r="J145" i="27"/>
  <c r="I145" i="27"/>
  <c r="H145" i="27"/>
  <c r="G145" i="27"/>
  <c r="F145" i="27"/>
  <c r="E145" i="27"/>
  <c r="D145" i="27"/>
  <c r="K144" i="27"/>
  <c r="J144" i="27"/>
  <c r="I144" i="27"/>
  <c r="H144" i="27"/>
  <c r="G144" i="27"/>
  <c r="F144" i="27"/>
  <c r="E144" i="27"/>
  <c r="D144" i="27"/>
  <c r="K143" i="27"/>
  <c r="J143" i="27"/>
  <c r="I143" i="27"/>
  <c r="H143" i="27"/>
  <c r="G143" i="27"/>
  <c r="F143" i="27"/>
  <c r="E143" i="27"/>
  <c r="D143" i="27"/>
  <c r="K142" i="27"/>
  <c r="J142" i="27"/>
  <c r="I142" i="27"/>
  <c r="H142" i="27"/>
  <c r="G142" i="27"/>
  <c r="F142" i="27"/>
  <c r="E142" i="27"/>
  <c r="D142" i="27"/>
  <c r="K141" i="27"/>
  <c r="J141" i="27"/>
  <c r="I141" i="27"/>
  <c r="H141" i="27"/>
  <c r="G141" i="27"/>
  <c r="F141" i="27"/>
  <c r="E141" i="27"/>
  <c r="D141" i="27"/>
  <c r="K140" i="27"/>
  <c r="J140" i="27"/>
  <c r="I140" i="27"/>
  <c r="H140" i="27"/>
  <c r="G140" i="27"/>
  <c r="F140" i="27"/>
  <c r="E140" i="27"/>
  <c r="D140" i="27"/>
  <c r="K139" i="27"/>
  <c r="J139" i="27"/>
  <c r="I139" i="27"/>
  <c r="H139" i="27"/>
  <c r="G139" i="27"/>
  <c r="F139" i="27"/>
  <c r="E139" i="27"/>
  <c r="D139" i="27"/>
  <c r="K138" i="27"/>
  <c r="J138" i="27"/>
  <c r="I138" i="27"/>
  <c r="H138" i="27"/>
  <c r="G138" i="27"/>
  <c r="F138" i="27"/>
  <c r="E138" i="27"/>
  <c r="D138" i="27"/>
  <c r="K137" i="27"/>
  <c r="J137" i="27"/>
  <c r="I137" i="27"/>
  <c r="H137" i="27"/>
  <c r="G137" i="27"/>
  <c r="F137" i="27"/>
  <c r="E137" i="27"/>
  <c r="D137" i="27"/>
  <c r="K136" i="27"/>
  <c r="J136" i="27"/>
  <c r="I136" i="27"/>
  <c r="H136" i="27"/>
  <c r="G136" i="27"/>
  <c r="F136" i="27"/>
  <c r="E136" i="27"/>
  <c r="D136" i="27"/>
  <c r="K132" i="27"/>
  <c r="J132" i="27"/>
  <c r="I132" i="27"/>
  <c r="H132" i="27"/>
  <c r="G132" i="27"/>
  <c r="F132" i="27"/>
  <c r="E132" i="27"/>
  <c r="D132" i="27"/>
  <c r="K131" i="27"/>
  <c r="J131" i="27"/>
  <c r="I131" i="27"/>
  <c r="H131" i="27"/>
  <c r="G131" i="27"/>
  <c r="F131" i="27"/>
  <c r="E131" i="27"/>
  <c r="D131" i="27"/>
  <c r="K130" i="27"/>
  <c r="J130" i="27"/>
  <c r="I130" i="27"/>
  <c r="H130" i="27"/>
  <c r="G130" i="27"/>
  <c r="F130" i="27"/>
  <c r="E130" i="27"/>
  <c r="D130" i="27"/>
  <c r="K129" i="27"/>
  <c r="J129" i="27"/>
  <c r="I129" i="27"/>
  <c r="H129" i="27"/>
  <c r="G129" i="27"/>
  <c r="F129" i="27"/>
  <c r="E129" i="27"/>
  <c r="D129" i="27"/>
  <c r="K128" i="27"/>
  <c r="J128" i="27"/>
  <c r="I128" i="27"/>
  <c r="H128" i="27"/>
  <c r="G128" i="27"/>
  <c r="F128" i="27"/>
  <c r="E128" i="27"/>
  <c r="D128" i="27"/>
  <c r="K127" i="27"/>
  <c r="J127" i="27"/>
  <c r="I127" i="27"/>
  <c r="H127" i="27"/>
  <c r="G127" i="27"/>
  <c r="F127" i="27"/>
  <c r="E127" i="27"/>
  <c r="D127" i="27"/>
  <c r="K126" i="27"/>
  <c r="J126" i="27"/>
  <c r="I126" i="27"/>
  <c r="H126" i="27"/>
  <c r="G126" i="27"/>
  <c r="F126" i="27"/>
  <c r="E126" i="27"/>
  <c r="D126" i="27"/>
  <c r="K125" i="27"/>
  <c r="J125" i="27"/>
  <c r="I125" i="27"/>
  <c r="H125" i="27"/>
  <c r="G125" i="27"/>
  <c r="F125" i="27"/>
  <c r="E125" i="27"/>
  <c r="D125" i="27"/>
  <c r="K124" i="27"/>
  <c r="J124" i="27"/>
  <c r="I124" i="27"/>
  <c r="H124" i="27"/>
  <c r="G124" i="27"/>
  <c r="F124" i="27"/>
  <c r="E124" i="27"/>
  <c r="D124" i="27"/>
  <c r="K123" i="27"/>
  <c r="J123" i="27"/>
  <c r="I123" i="27"/>
  <c r="H123" i="27"/>
  <c r="G123" i="27"/>
  <c r="F123" i="27"/>
  <c r="E123" i="27"/>
  <c r="D123" i="27"/>
  <c r="K122" i="27"/>
  <c r="J122" i="27"/>
  <c r="I122" i="27"/>
  <c r="H122" i="27"/>
  <c r="G122" i="27"/>
  <c r="F122" i="27"/>
  <c r="E122" i="27"/>
  <c r="D122" i="27"/>
  <c r="K121" i="27"/>
  <c r="J121" i="27"/>
  <c r="I121" i="27"/>
  <c r="H121" i="27"/>
  <c r="G121" i="27"/>
  <c r="F121" i="27"/>
  <c r="E121" i="27"/>
  <c r="D121" i="27"/>
  <c r="K120" i="27"/>
  <c r="J120" i="27"/>
  <c r="I120" i="27"/>
  <c r="H120" i="27"/>
  <c r="G120" i="27"/>
  <c r="F120" i="27"/>
  <c r="E120" i="27"/>
  <c r="D120" i="27"/>
  <c r="K119" i="27"/>
  <c r="J119" i="27"/>
  <c r="I119" i="27"/>
  <c r="H119" i="27"/>
  <c r="G119" i="27"/>
  <c r="F119" i="27"/>
  <c r="E119" i="27"/>
  <c r="D119" i="27"/>
  <c r="K118" i="27"/>
  <c r="J118" i="27"/>
  <c r="I118" i="27"/>
  <c r="H118" i="27"/>
  <c r="G118" i="27"/>
  <c r="F118" i="27"/>
  <c r="E118" i="27"/>
  <c r="D118" i="27"/>
  <c r="K117" i="27"/>
  <c r="J117" i="27"/>
  <c r="I117" i="27"/>
  <c r="H117" i="27"/>
  <c r="G117" i="27"/>
  <c r="F117" i="27"/>
  <c r="E117" i="27"/>
  <c r="D117" i="27"/>
  <c r="K116" i="27"/>
  <c r="J116" i="27"/>
  <c r="I116" i="27"/>
  <c r="H116" i="27"/>
  <c r="G116" i="27"/>
  <c r="F116" i="27"/>
  <c r="E116" i="27"/>
  <c r="D116" i="27"/>
  <c r="K115" i="27"/>
  <c r="J115" i="27"/>
  <c r="I115" i="27"/>
  <c r="H115" i="27"/>
  <c r="G115" i="27"/>
  <c r="F115" i="27"/>
  <c r="E115" i="27"/>
  <c r="D115" i="27"/>
  <c r="K114" i="27"/>
  <c r="J114" i="27"/>
  <c r="I114" i="27"/>
  <c r="H114" i="27"/>
  <c r="G114" i="27"/>
  <c r="F114" i="27"/>
  <c r="E114" i="27"/>
  <c r="D114" i="27"/>
  <c r="K113" i="27"/>
  <c r="J113" i="27"/>
  <c r="I113" i="27"/>
  <c r="H113" i="27"/>
  <c r="G113" i="27"/>
  <c r="F113" i="27"/>
  <c r="E113" i="27"/>
  <c r="D113" i="27"/>
  <c r="K112" i="27"/>
  <c r="J112" i="27"/>
  <c r="I112" i="27"/>
  <c r="H112" i="27"/>
  <c r="G112" i="27"/>
  <c r="F112" i="27"/>
  <c r="E112" i="27"/>
  <c r="D112" i="27"/>
  <c r="K111" i="27"/>
  <c r="J111" i="27"/>
  <c r="I111" i="27"/>
  <c r="H111" i="27"/>
  <c r="G111" i="27"/>
  <c r="F111" i="27"/>
  <c r="E111" i="27"/>
  <c r="D111" i="27"/>
  <c r="K110" i="27"/>
  <c r="J110" i="27"/>
  <c r="I110" i="27"/>
  <c r="H110" i="27"/>
  <c r="G110" i="27"/>
  <c r="F110" i="27"/>
  <c r="E110" i="27"/>
  <c r="D110" i="27"/>
  <c r="K106" i="27"/>
  <c r="J106" i="27"/>
  <c r="I106" i="27"/>
  <c r="H106" i="27"/>
  <c r="G106" i="27"/>
  <c r="F106" i="27"/>
  <c r="E106" i="27"/>
  <c r="D106" i="27"/>
  <c r="K105" i="27"/>
  <c r="J105" i="27"/>
  <c r="I105" i="27"/>
  <c r="H105" i="27"/>
  <c r="G105" i="27"/>
  <c r="F105" i="27"/>
  <c r="E105" i="27"/>
  <c r="D105" i="27"/>
  <c r="K104" i="27"/>
  <c r="J104" i="27"/>
  <c r="I104" i="27"/>
  <c r="H104" i="27"/>
  <c r="G104" i="27"/>
  <c r="F104" i="27"/>
  <c r="E104" i="27"/>
  <c r="D104" i="27"/>
  <c r="K103" i="27"/>
  <c r="J103" i="27"/>
  <c r="I103" i="27"/>
  <c r="H103" i="27"/>
  <c r="G103" i="27"/>
  <c r="F103" i="27"/>
  <c r="E103" i="27"/>
  <c r="D103" i="27"/>
  <c r="K102" i="27"/>
  <c r="J102" i="27"/>
  <c r="I102" i="27"/>
  <c r="H102" i="27"/>
  <c r="G102" i="27"/>
  <c r="F102" i="27"/>
  <c r="E102" i="27"/>
  <c r="D102" i="27"/>
  <c r="K101" i="27"/>
  <c r="J101" i="27"/>
  <c r="I101" i="27"/>
  <c r="H101" i="27"/>
  <c r="G101" i="27"/>
  <c r="F101" i="27"/>
  <c r="E101" i="27"/>
  <c r="D101" i="27"/>
  <c r="K100" i="27"/>
  <c r="J100" i="27"/>
  <c r="I100" i="27"/>
  <c r="H100" i="27"/>
  <c r="G100" i="27"/>
  <c r="F100" i="27"/>
  <c r="E100" i="27"/>
  <c r="D100" i="27"/>
  <c r="K99" i="27"/>
  <c r="J99" i="27"/>
  <c r="I99" i="27"/>
  <c r="H99" i="27"/>
  <c r="G99" i="27"/>
  <c r="F99" i="27"/>
  <c r="E99" i="27"/>
  <c r="D99" i="27"/>
  <c r="K98" i="27"/>
  <c r="J98" i="27"/>
  <c r="I98" i="27"/>
  <c r="H98" i="27"/>
  <c r="G98" i="27"/>
  <c r="F98" i="27"/>
  <c r="E98" i="27"/>
  <c r="D98" i="27"/>
  <c r="K97" i="27"/>
  <c r="J97" i="27"/>
  <c r="I97" i="27"/>
  <c r="H97" i="27"/>
  <c r="G97" i="27"/>
  <c r="F97" i="27"/>
  <c r="E97" i="27"/>
  <c r="D97" i="27"/>
  <c r="K96" i="27"/>
  <c r="J96" i="27"/>
  <c r="I96" i="27"/>
  <c r="H96" i="27"/>
  <c r="G96" i="27"/>
  <c r="F96" i="27"/>
  <c r="E96" i="27"/>
  <c r="D96" i="27"/>
  <c r="K95" i="27"/>
  <c r="J95" i="27"/>
  <c r="I95" i="27"/>
  <c r="H95" i="27"/>
  <c r="G95" i="27"/>
  <c r="F95" i="27"/>
  <c r="E95" i="27"/>
  <c r="D95" i="27"/>
  <c r="K94" i="27"/>
  <c r="J94" i="27"/>
  <c r="I94" i="27"/>
  <c r="H94" i="27"/>
  <c r="G94" i="27"/>
  <c r="F94" i="27"/>
  <c r="E94" i="27"/>
  <c r="D94" i="27"/>
  <c r="K93" i="27"/>
  <c r="J93" i="27"/>
  <c r="I93" i="27"/>
  <c r="H93" i="27"/>
  <c r="G93" i="27"/>
  <c r="F93" i="27"/>
  <c r="E93" i="27"/>
  <c r="D93" i="27"/>
  <c r="K92" i="27"/>
  <c r="J92" i="27"/>
  <c r="I92" i="27"/>
  <c r="H92" i="27"/>
  <c r="G92" i="27"/>
  <c r="F92" i="27"/>
  <c r="E92" i="27"/>
  <c r="D92" i="27"/>
  <c r="K91" i="27"/>
  <c r="J91" i="27"/>
  <c r="I91" i="27"/>
  <c r="H91" i="27"/>
  <c r="G91" i="27"/>
  <c r="F91" i="27"/>
  <c r="E91" i="27"/>
  <c r="D91" i="27"/>
  <c r="K90" i="27"/>
  <c r="J90" i="27"/>
  <c r="I90" i="27"/>
  <c r="H90" i="27"/>
  <c r="G90" i="27"/>
  <c r="F90" i="27"/>
  <c r="E90" i="27"/>
  <c r="D90" i="27"/>
  <c r="K89" i="27"/>
  <c r="J89" i="27"/>
  <c r="I89" i="27"/>
  <c r="H89" i="27"/>
  <c r="G89" i="27"/>
  <c r="F89" i="27"/>
  <c r="E89" i="27"/>
  <c r="D89" i="27"/>
  <c r="K88" i="27"/>
  <c r="J88" i="27"/>
  <c r="I88" i="27"/>
  <c r="H88" i="27"/>
  <c r="G88" i="27"/>
  <c r="F88" i="27"/>
  <c r="E88" i="27"/>
  <c r="D88" i="27"/>
  <c r="K87" i="27"/>
  <c r="J87" i="27"/>
  <c r="I87" i="27"/>
  <c r="H87" i="27"/>
  <c r="G87" i="27"/>
  <c r="F87" i="27"/>
  <c r="E87" i="27"/>
  <c r="D87" i="27"/>
  <c r="K86" i="27"/>
  <c r="J86" i="27"/>
  <c r="I86" i="27"/>
  <c r="H86" i="27"/>
  <c r="G86" i="27"/>
  <c r="F86" i="27"/>
  <c r="E86" i="27"/>
  <c r="D86" i="27"/>
  <c r="K85" i="27"/>
  <c r="J85" i="27"/>
  <c r="I85" i="27"/>
  <c r="H85" i="27"/>
  <c r="G85" i="27"/>
  <c r="F85" i="27"/>
  <c r="E85" i="27"/>
  <c r="D85" i="27"/>
  <c r="K84" i="27"/>
  <c r="J84" i="27"/>
  <c r="I84" i="27"/>
  <c r="H84" i="27"/>
  <c r="G84" i="27"/>
  <c r="F84" i="27"/>
  <c r="E84" i="27"/>
  <c r="D84" i="27"/>
  <c r="K80" i="27"/>
  <c r="J80" i="27"/>
  <c r="I80" i="27"/>
  <c r="H80" i="27"/>
  <c r="G80" i="27"/>
  <c r="F80" i="27"/>
  <c r="E80" i="27"/>
  <c r="D80" i="27"/>
  <c r="K79" i="27"/>
  <c r="J79" i="27"/>
  <c r="I79" i="27"/>
  <c r="H79" i="27"/>
  <c r="G79" i="27"/>
  <c r="F79" i="27"/>
  <c r="E79" i="27"/>
  <c r="D79" i="27"/>
  <c r="K78" i="27"/>
  <c r="J78" i="27"/>
  <c r="I78" i="27"/>
  <c r="H78" i="27"/>
  <c r="G78" i="27"/>
  <c r="F78" i="27"/>
  <c r="E78" i="27"/>
  <c r="D78" i="27"/>
  <c r="K77" i="27"/>
  <c r="J77" i="27"/>
  <c r="I77" i="27"/>
  <c r="H77" i="27"/>
  <c r="G77" i="27"/>
  <c r="F77" i="27"/>
  <c r="E77" i="27"/>
  <c r="D77" i="27"/>
  <c r="K76" i="27"/>
  <c r="J76" i="27"/>
  <c r="I76" i="27"/>
  <c r="H76" i="27"/>
  <c r="G76" i="27"/>
  <c r="F76" i="27"/>
  <c r="E76" i="27"/>
  <c r="D76" i="27"/>
  <c r="K75" i="27"/>
  <c r="J75" i="27"/>
  <c r="I75" i="27"/>
  <c r="H75" i="27"/>
  <c r="G75" i="27"/>
  <c r="F75" i="27"/>
  <c r="E75" i="27"/>
  <c r="D75" i="27"/>
  <c r="K74" i="27"/>
  <c r="J74" i="27"/>
  <c r="I74" i="27"/>
  <c r="H74" i="27"/>
  <c r="G74" i="27"/>
  <c r="F74" i="27"/>
  <c r="E74" i="27"/>
  <c r="D74" i="27"/>
  <c r="K73" i="27"/>
  <c r="J73" i="27"/>
  <c r="I73" i="27"/>
  <c r="H73" i="27"/>
  <c r="G73" i="27"/>
  <c r="F73" i="27"/>
  <c r="E73" i="27"/>
  <c r="D73" i="27"/>
  <c r="K72" i="27"/>
  <c r="J72" i="27"/>
  <c r="I72" i="27"/>
  <c r="H72" i="27"/>
  <c r="G72" i="27"/>
  <c r="F72" i="27"/>
  <c r="E72" i="27"/>
  <c r="D72" i="27"/>
  <c r="K71" i="27"/>
  <c r="J71" i="27"/>
  <c r="I71" i="27"/>
  <c r="H71" i="27"/>
  <c r="G71" i="27"/>
  <c r="F71" i="27"/>
  <c r="E71" i="27"/>
  <c r="D71" i="27"/>
  <c r="K70" i="27"/>
  <c r="J70" i="27"/>
  <c r="I70" i="27"/>
  <c r="H70" i="27"/>
  <c r="G70" i="27"/>
  <c r="F70" i="27"/>
  <c r="E70" i="27"/>
  <c r="D70" i="27"/>
  <c r="K69" i="27"/>
  <c r="J69" i="27"/>
  <c r="I69" i="27"/>
  <c r="H69" i="27"/>
  <c r="G69" i="27"/>
  <c r="F69" i="27"/>
  <c r="E69" i="27"/>
  <c r="D69" i="27"/>
  <c r="K68" i="27"/>
  <c r="J68" i="27"/>
  <c r="I68" i="27"/>
  <c r="H68" i="27"/>
  <c r="G68" i="27"/>
  <c r="F68" i="27"/>
  <c r="E68" i="27"/>
  <c r="D68" i="27"/>
  <c r="K67" i="27"/>
  <c r="J67" i="27"/>
  <c r="I67" i="27"/>
  <c r="H67" i="27"/>
  <c r="G67" i="27"/>
  <c r="F67" i="27"/>
  <c r="E67" i="27"/>
  <c r="D67" i="27"/>
  <c r="K66" i="27"/>
  <c r="J66" i="27"/>
  <c r="I66" i="27"/>
  <c r="H66" i="27"/>
  <c r="G66" i="27"/>
  <c r="F66" i="27"/>
  <c r="E66" i="27"/>
  <c r="D66" i="27"/>
  <c r="K65" i="27"/>
  <c r="J65" i="27"/>
  <c r="I65" i="27"/>
  <c r="H65" i="27"/>
  <c r="G65" i="27"/>
  <c r="F65" i="27"/>
  <c r="E65" i="27"/>
  <c r="D65" i="27"/>
  <c r="K64" i="27"/>
  <c r="J64" i="27"/>
  <c r="I64" i="27"/>
  <c r="H64" i="27"/>
  <c r="G64" i="27"/>
  <c r="F64" i="27"/>
  <c r="E64" i="27"/>
  <c r="D64" i="27"/>
  <c r="K63" i="27"/>
  <c r="J63" i="27"/>
  <c r="I63" i="27"/>
  <c r="H63" i="27"/>
  <c r="G63" i="27"/>
  <c r="F63" i="27"/>
  <c r="E63" i="27"/>
  <c r="D63" i="27"/>
  <c r="K62" i="27"/>
  <c r="J62" i="27"/>
  <c r="I62" i="27"/>
  <c r="H62" i="27"/>
  <c r="G62" i="27"/>
  <c r="F62" i="27"/>
  <c r="E62" i="27"/>
  <c r="D62" i="27"/>
  <c r="K61" i="27"/>
  <c r="J61" i="27"/>
  <c r="I61" i="27"/>
  <c r="H61" i="27"/>
  <c r="G61" i="27"/>
  <c r="F61" i="27"/>
  <c r="E61" i="27"/>
  <c r="D61" i="27"/>
  <c r="K60" i="27"/>
  <c r="J60" i="27"/>
  <c r="I60" i="27"/>
  <c r="H60" i="27"/>
  <c r="G60" i="27"/>
  <c r="F60" i="27"/>
  <c r="E60" i="27"/>
  <c r="D60" i="27"/>
  <c r="K59" i="27"/>
  <c r="J59" i="27"/>
  <c r="I59" i="27"/>
  <c r="H59" i="27"/>
  <c r="G59" i="27"/>
  <c r="F59" i="27"/>
  <c r="E59" i="27"/>
  <c r="D59" i="27"/>
  <c r="K58" i="27"/>
  <c r="J58" i="27"/>
  <c r="I58" i="27"/>
  <c r="H58" i="27"/>
  <c r="G58" i="27"/>
  <c r="F58" i="27"/>
  <c r="E58" i="27"/>
  <c r="D58" i="27"/>
  <c r="K54" i="27"/>
  <c r="J54" i="27"/>
  <c r="I54" i="27"/>
  <c r="H54" i="27"/>
  <c r="G54" i="27"/>
  <c r="F54" i="27"/>
  <c r="E54" i="27"/>
  <c r="D54" i="27"/>
  <c r="K53" i="27"/>
  <c r="J53" i="27"/>
  <c r="I53" i="27"/>
  <c r="H53" i="27"/>
  <c r="G53" i="27"/>
  <c r="F53" i="27"/>
  <c r="E53" i="27"/>
  <c r="D53" i="27"/>
  <c r="K52" i="27"/>
  <c r="J52" i="27"/>
  <c r="I52" i="27"/>
  <c r="H52" i="27"/>
  <c r="G52" i="27"/>
  <c r="F52" i="27"/>
  <c r="E52" i="27"/>
  <c r="D52" i="27"/>
  <c r="K51" i="27"/>
  <c r="J51" i="27"/>
  <c r="I51" i="27"/>
  <c r="H51" i="27"/>
  <c r="G51" i="27"/>
  <c r="F51" i="27"/>
  <c r="E51" i="27"/>
  <c r="D51" i="27"/>
  <c r="K50" i="27"/>
  <c r="J50" i="27"/>
  <c r="I50" i="27"/>
  <c r="H50" i="27"/>
  <c r="G50" i="27"/>
  <c r="F50" i="27"/>
  <c r="E50" i="27"/>
  <c r="D50" i="27"/>
  <c r="K49" i="27"/>
  <c r="J49" i="27"/>
  <c r="I49" i="27"/>
  <c r="H49" i="27"/>
  <c r="G49" i="27"/>
  <c r="F49" i="27"/>
  <c r="E49" i="27"/>
  <c r="D49" i="27"/>
  <c r="K48" i="27"/>
  <c r="J48" i="27"/>
  <c r="I48" i="27"/>
  <c r="H48" i="27"/>
  <c r="G48" i="27"/>
  <c r="F48" i="27"/>
  <c r="E48" i="27"/>
  <c r="D48" i="27"/>
  <c r="K47" i="27"/>
  <c r="J47" i="27"/>
  <c r="I47" i="27"/>
  <c r="H47" i="27"/>
  <c r="G47" i="27"/>
  <c r="F47" i="27"/>
  <c r="E47" i="27"/>
  <c r="D47" i="27"/>
  <c r="K46" i="27"/>
  <c r="J46" i="27"/>
  <c r="I46" i="27"/>
  <c r="H46" i="27"/>
  <c r="G46" i="27"/>
  <c r="F46" i="27"/>
  <c r="E46" i="27"/>
  <c r="D46" i="27"/>
  <c r="K45" i="27"/>
  <c r="J45" i="27"/>
  <c r="I45" i="27"/>
  <c r="H45" i="27"/>
  <c r="G45" i="27"/>
  <c r="F45" i="27"/>
  <c r="E45" i="27"/>
  <c r="D45" i="27"/>
  <c r="K44" i="27"/>
  <c r="J44" i="27"/>
  <c r="I44" i="27"/>
  <c r="H44" i="27"/>
  <c r="G44" i="27"/>
  <c r="F44" i="27"/>
  <c r="E44" i="27"/>
  <c r="D44" i="27"/>
  <c r="K43" i="27"/>
  <c r="J43" i="27"/>
  <c r="I43" i="27"/>
  <c r="H43" i="27"/>
  <c r="G43" i="27"/>
  <c r="F43" i="27"/>
  <c r="E43" i="27"/>
  <c r="D43" i="27"/>
  <c r="K42" i="27"/>
  <c r="J42" i="27"/>
  <c r="I42" i="27"/>
  <c r="H42" i="27"/>
  <c r="G42" i="27"/>
  <c r="F42" i="27"/>
  <c r="E42" i="27"/>
  <c r="D42" i="27"/>
  <c r="K41" i="27"/>
  <c r="J41" i="27"/>
  <c r="I41" i="27"/>
  <c r="H41" i="27"/>
  <c r="G41" i="27"/>
  <c r="F41" i="27"/>
  <c r="E41" i="27"/>
  <c r="D41" i="27"/>
  <c r="K40" i="27"/>
  <c r="J40" i="27"/>
  <c r="I40" i="27"/>
  <c r="H40" i="27"/>
  <c r="G40" i="27"/>
  <c r="F40" i="27"/>
  <c r="E40" i="27"/>
  <c r="D40" i="27"/>
  <c r="K39" i="27"/>
  <c r="J39" i="27"/>
  <c r="I39" i="27"/>
  <c r="H39" i="27"/>
  <c r="G39" i="27"/>
  <c r="F39" i="27"/>
  <c r="E39" i="27"/>
  <c r="D39" i="27"/>
  <c r="K38" i="27"/>
  <c r="J38" i="27"/>
  <c r="I38" i="27"/>
  <c r="H38" i="27"/>
  <c r="G38" i="27"/>
  <c r="F38" i="27"/>
  <c r="E38" i="27"/>
  <c r="D38" i="27"/>
  <c r="K37" i="27"/>
  <c r="J37" i="27"/>
  <c r="I37" i="27"/>
  <c r="H37" i="27"/>
  <c r="G37" i="27"/>
  <c r="F37" i="27"/>
  <c r="E37" i="27"/>
  <c r="D37" i="27"/>
  <c r="K36" i="27"/>
  <c r="J36" i="27"/>
  <c r="I36" i="27"/>
  <c r="H36" i="27"/>
  <c r="G36" i="27"/>
  <c r="F36" i="27"/>
  <c r="E36" i="27"/>
  <c r="D36" i="27"/>
  <c r="K35" i="27"/>
  <c r="J35" i="27"/>
  <c r="I35" i="27"/>
  <c r="H35" i="27"/>
  <c r="G35" i="27"/>
  <c r="F35" i="27"/>
  <c r="E35" i="27"/>
  <c r="D35" i="27"/>
  <c r="K34" i="27"/>
  <c r="J34" i="27"/>
  <c r="I34" i="27"/>
  <c r="H34" i="27"/>
  <c r="G34" i="27"/>
  <c r="F34" i="27"/>
  <c r="E34" i="27"/>
  <c r="D34" i="27"/>
  <c r="K33" i="27"/>
  <c r="J33" i="27"/>
  <c r="I33" i="27"/>
  <c r="H33" i="27"/>
  <c r="G33" i="27"/>
  <c r="F33" i="27"/>
  <c r="E33" i="27"/>
  <c r="D33" i="27"/>
  <c r="K32" i="27"/>
  <c r="J32" i="27"/>
  <c r="I32" i="27"/>
  <c r="H32" i="27"/>
  <c r="G32" i="27"/>
  <c r="F32" i="27"/>
  <c r="E32" i="27"/>
  <c r="D32" i="27"/>
  <c r="K28" i="27"/>
  <c r="J28" i="27"/>
  <c r="I28" i="27"/>
  <c r="H28" i="27"/>
  <c r="G28" i="27"/>
  <c r="F28" i="27"/>
  <c r="E28" i="27"/>
  <c r="D28" i="27"/>
  <c r="K26" i="27"/>
  <c r="J26" i="27"/>
  <c r="I26" i="27"/>
  <c r="H26" i="27"/>
  <c r="G26" i="27"/>
  <c r="F26" i="27"/>
  <c r="E26" i="27"/>
  <c r="D26" i="27"/>
  <c r="K25" i="27"/>
  <c r="J25" i="27"/>
  <c r="I25" i="27"/>
  <c r="H25" i="27"/>
  <c r="G25" i="27"/>
  <c r="F25" i="27"/>
  <c r="E25" i="27"/>
  <c r="D25" i="27"/>
  <c r="K24" i="27"/>
  <c r="J24" i="27"/>
  <c r="I24" i="27"/>
  <c r="H24" i="27"/>
  <c r="G24" i="27"/>
  <c r="F24" i="27"/>
  <c r="E24" i="27"/>
  <c r="D24" i="27"/>
  <c r="K23" i="27"/>
  <c r="J23" i="27"/>
  <c r="I23" i="27"/>
  <c r="H23" i="27"/>
  <c r="G23" i="27"/>
  <c r="F23" i="27"/>
  <c r="E23" i="27"/>
  <c r="D23" i="27"/>
  <c r="K22" i="27"/>
  <c r="J22" i="27"/>
  <c r="I22" i="27"/>
  <c r="H22" i="27"/>
  <c r="G22" i="27"/>
  <c r="F22" i="27"/>
  <c r="E22" i="27"/>
  <c r="D22" i="27"/>
  <c r="K21" i="27"/>
  <c r="J21" i="27"/>
  <c r="I21" i="27"/>
  <c r="H21" i="27"/>
  <c r="G21" i="27"/>
  <c r="F21" i="27"/>
  <c r="E21" i="27"/>
  <c r="D21" i="27"/>
  <c r="K20" i="27"/>
  <c r="J20" i="27"/>
  <c r="I20" i="27"/>
  <c r="H20" i="27"/>
  <c r="G20" i="27"/>
  <c r="F20" i="27"/>
  <c r="E20" i="27"/>
  <c r="D20" i="27"/>
  <c r="K19" i="27"/>
  <c r="J19" i="27"/>
  <c r="I19" i="27"/>
  <c r="H19" i="27"/>
  <c r="G19" i="27"/>
  <c r="F19" i="27"/>
  <c r="E19" i="27"/>
  <c r="D19" i="27"/>
  <c r="K18" i="27"/>
  <c r="J18" i="27"/>
  <c r="I18" i="27"/>
  <c r="H18" i="27"/>
  <c r="G18" i="27"/>
  <c r="F18" i="27"/>
  <c r="E18" i="27"/>
  <c r="D18" i="27"/>
  <c r="K17" i="27"/>
  <c r="J17" i="27"/>
  <c r="I17" i="27"/>
  <c r="H17" i="27"/>
  <c r="G17" i="27"/>
  <c r="F17" i="27"/>
  <c r="E17" i="27"/>
  <c r="D17" i="27"/>
  <c r="K16" i="27"/>
  <c r="J16" i="27"/>
  <c r="I16" i="27"/>
  <c r="H16" i="27"/>
  <c r="G16" i="27"/>
  <c r="F16" i="27"/>
  <c r="E16" i="27"/>
  <c r="D16" i="27"/>
  <c r="K14" i="27"/>
  <c r="J14" i="27"/>
  <c r="I14" i="27"/>
  <c r="H14" i="27"/>
  <c r="G14" i="27"/>
  <c r="F14" i="27"/>
  <c r="E14" i="27"/>
  <c r="D14" i="27"/>
  <c r="K13" i="27"/>
  <c r="J13" i="27"/>
  <c r="I13" i="27"/>
  <c r="H13" i="27"/>
  <c r="G13" i="27"/>
  <c r="F13" i="27"/>
  <c r="E13" i="27"/>
  <c r="D13" i="27"/>
  <c r="K12" i="27"/>
  <c r="J12" i="27"/>
  <c r="I12" i="27"/>
  <c r="H12" i="27"/>
  <c r="G12" i="27"/>
  <c r="F12" i="27"/>
  <c r="E12" i="27"/>
  <c r="D12" i="27"/>
  <c r="K11" i="27"/>
  <c r="J11" i="27"/>
  <c r="I11" i="27"/>
  <c r="H11" i="27"/>
  <c r="G11" i="27"/>
  <c r="F11" i="27"/>
  <c r="E11" i="27"/>
  <c r="D11" i="27"/>
  <c r="K10" i="27"/>
  <c r="J10" i="27"/>
  <c r="I10" i="27"/>
  <c r="H10" i="27"/>
  <c r="G10" i="27"/>
  <c r="F10" i="27"/>
  <c r="E10" i="27"/>
  <c r="D10" i="27"/>
  <c r="K9" i="27"/>
  <c r="J9" i="27"/>
  <c r="I9" i="27"/>
  <c r="H9" i="27"/>
  <c r="G9" i="27"/>
  <c r="F9" i="27"/>
  <c r="E9" i="27"/>
  <c r="D9" i="27"/>
  <c r="K8" i="27"/>
  <c r="J8" i="27"/>
  <c r="I8" i="27"/>
  <c r="H8" i="27"/>
  <c r="G8" i="27"/>
  <c r="F8" i="27"/>
  <c r="E8" i="27"/>
  <c r="D8" i="27"/>
  <c r="K7" i="27"/>
  <c r="J7" i="27"/>
  <c r="I7" i="27"/>
  <c r="H7" i="27"/>
  <c r="G7" i="27"/>
  <c r="F7" i="27"/>
  <c r="E7" i="27"/>
  <c r="D7" i="27"/>
  <c r="K6" i="27"/>
  <c r="J6" i="27"/>
  <c r="I6" i="27"/>
  <c r="H6" i="27"/>
  <c r="G6" i="27"/>
  <c r="F6" i="27"/>
  <c r="E6" i="27"/>
  <c r="D6" i="27"/>
  <c r="K161" i="27"/>
  <c r="J161" i="27"/>
  <c r="I161" i="27"/>
  <c r="H161" i="27"/>
  <c r="G161" i="27"/>
  <c r="F161" i="27"/>
  <c r="E161" i="27"/>
  <c r="D161" i="27"/>
  <c r="K56" i="27"/>
  <c r="J56" i="27"/>
  <c r="I56" i="27"/>
  <c r="H56" i="27"/>
  <c r="G56" i="27"/>
  <c r="F56" i="27"/>
  <c r="E56" i="27"/>
  <c r="D56" i="27"/>
  <c r="K57" i="27"/>
  <c r="J57" i="27"/>
  <c r="I57" i="27"/>
  <c r="H57" i="27"/>
  <c r="G57" i="27"/>
  <c r="F57" i="27"/>
  <c r="E57" i="27"/>
  <c r="D57" i="27"/>
  <c r="N1" i="27"/>
  <c r="K263" i="27"/>
  <c r="J263" i="27"/>
  <c r="I263" i="27"/>
  <c r="H263" i="27"/>
  <c r="G263" i="27"/>
  <c r="F263" i="27"/>
  <c r="E263" i="27"/>
  <c r="D263" i="27"/>
  <c r="K237" i="27"/>
  <c r="J237" i="27"/>
  <c r="I237" i="27"/>
  <c r="H237" i="27"/>
  <c r="G237" i="27"/>
  <c r="F237" i="27"/>
  <c r="E237" i="27"/>
  <c r="D237" i="27"/>
  <c r="K262" i="27"/>
  <c r="J262" i="27"/>
  <c r="I262" i="27"/>
  <c r="H262" i="27"/>
  <c r="G262" i="27"/>
  <c r="F262" i="27"/>
  <c r="E262" i="27"/>
  <c r="D262" i="27"/>
  <c r="K261" i="27"/>
  <c r="J261" i="27"/>
  <c r="I261" i="27"/>
  <c r="H261" i="27"/>
  <c r="G261" i="27"/>
  <c r="F261" i="27"/>
  <c r="E261" i="27"/>
  <c r="D261" i="27"/>
  <c r="K260" i="27"/>
  <c r="J260" i="27"/>
  <c r="I260" i="27"/>
  <c r="H260" i="27"/>
  <c r="G260" i="27"/>
  <c r="F260" i="27"/>
  <c r="E260" i="27"/>
  <c r="D260" i="27"/>
  <c r="K259" i="27"/>
  <c r="J259" i="27"/>
  <c r="I259" i="27"/>
  <c r="H259" i="27"/>
  <c r="G259" i="27"/>
  <c r="F259" i="27"/>
  <c r="E259" i="27"/>
  <c r="D259" i="27"/>
  <c r="K258" i="27"/>
  <c r="J258" i="27"/>
  <c r="I258" i="27"/>
  <c r="H258" i="27"/>
  <c r="G258" i="27"/>
  <c r="F258" i="27"/>
  <c r="E258" i="27"/>
  <c r="D258" i="27"/>
  <c r="K257" i="27"/>
  <c r="J257" i="27"/>
  <c r="I257" i="27"/>
  <c r="H257" i="27"/>
  <c r="G257" i="27"/>
  <c r="F257" i="27"/>
  <c r="E257" i="27"/>
  <c r="D257" i="27"/>
  <c r="K256" i="27"/>
  <c r="J256" i="27"/>
  <c r="I256" i="27"/>
  <c r="H256" i="27"/>
  <c r="G256" i="27"/>
  <c r="F256" i="27"/>
  <c r="E256" i="27"/>
  <c r="D256" i="27"/>
  <c r="K255" i="27"/>
  <c r="J255" i="27"/>
  <c r="I255" i="27"/>
  <c r="H255" i="27"/>
  <c r="G255" i="27"/>
  <c r="F255" i="27"/>
  <c r="E255" i="27"/>
  <c r="D255" i="27"/>
  <c r="K254" i="27"/>
  <c r="J254" i="27"/>
  <c r="I254" i="27"/>
  <c r="H254" i="27"/>
  <c r="G254" i="27"/>
  <c r="F254" i="27"/>
  <c r="E254" i="27"/>
  <c r="D254" i="27"/>
  <c r="K253" i="27"/>
  <c r="J253" i="27"/>
  <c r="I253" i="27"/>
  <c r="H253" i="27"/>
  <c r="G253" i="27"/>
  <c r="F253" i="27"/>
  <c r="E253" i="27"/>
  <c r="D253" i="27"/>
  <c r="K252" i="27"/>
  <c r="J252" i="27"/>
  <c r="I252" i="27"/>
  <c r="H252" i="27"/>
  <c r="G252" i="27"/>
  <c r="F252" i="27"/>
  <c r="E252" i="27"/>
  <c r="D252" i="27"/>
  <c r="K251" i="27"/>
  <c r="J251" i="27"/>
  <c r="I251" i="27"/>
  <c r="H251" i="27"/>
  <c r="G251" i="27"/>
  <c r="F251" i="27"/>
  <c r="E251" i="27"/>
  <c r="D251" i="27"/>
  <c r="K250" i="27"/>
  <c r="J250" i="27"/>
  <c r="I250" i="27"/>
  <c r="H250" i="27"/>
  <c r="G250" i="27"/>
  <c r="F250" i="27"/>
  <c r="E250" i="27"/>
  <c r="D250" i="27"/>
  <c r="K249" i="27"/>
  <c r="J249" i="27"/>
  <c r="I249" i="27"/>
  <c r="H249" i="27"/>
  <c r="G249" i="27"/>
  <c r="F249" i="27"/>
  <c r="E249" i="27"/>
  <c r="D249" i="27"/>
  <c r="K248" i="27"/>
  <c r="J248" i="27"/>
  <c r="I248" i="27"/>
  <c r="H248" i="27"/>
  <c r="G248" i="27"/>
  <c r="F248" i="27"/>
  <c r="E248" i="27"/>
  <c r="D248" i="27"/>
  <c r="K247" i="27"/>
  <c r="J247" i="27"/>
  <c r="I247" i="27"/>
  <c r="H247" i="27"/>
  <c r="G247" i="27"/>
  <c r="F247" i="27"/>
  <c r="E247" i="27"/>
  <c r="D247" i="27"/>
  <c r="K246" i="27"/>
  <c r="J246" i="27"/>
  <c r="I246" i="27"/>
  <c r="H246" i="27"/>
  <c r="G246" i="27"/>
  <c r="F246" i="27"/>
  <c r="E246" i="27"/>
  <c r="D246" i="27"/>
  <c r="K245" i="27"/>
  <c r="J245" i="27"/>
  <c r="I245" i="27"/>
  <c r="H245" i="27"/>
  <c r="G245" i="27"/>
  <c r="F245" i="27"/>
  <c r="E245" i="27"/>
  <c r="D245" i="27"/>
  <c r="K244" i="27"/>
  <c r="J244" i="27"/>
  <c r="I244" i="27"/>
  <c r="H244" i="27"/>
  <c r="G244" i="27"/>
  <c r="F244" i="27"/>
  <c r="E244" i="27"/>
  <c r="D244" i="27"/>
  <c r="K243" i="27"/>
  <c r="J243" i="27"/>
  <c r="I243" i="27"/>
  <c r="H243" i="27"/>
  <c r="G243" i="27"/>
  <c r="F243" i="27"/>
  <c r="E243" i="27"/>
  <c r="D243" i="27"/>
  <c r="K242" i="27"/>
  <c r="J242" i="27"/>
  <c r="I242" i="27"/>
  <c r="H242" i="27"/>
  <c r="G242" i="27"/>
  <c r="F242" i="27"/>
  <c r="E242" i="27"/>
  <c r="D242" i="27"/>
  <c r="K241" i="27"/>
  <c r="J241" i="27"/>
  <c r="I241" i="27"/>
  <c r="H241" i="27"/>
  <c r="G241" i="27"/>
  <c r="F241" i="27"/>
  <c r="E241" i="27"/>
  <c r="D241" i="27"/>
  <c r="K240" i="27"/>
  <c r="J240" i="27"/>
  <c r="I240" i="27"/>
  <c r="H240" i="27"/>
  <c r="G240" i="27"/>
  <c r="F240" i="27"/>
  <c r="E240" i="27"/>
  <c r="D240" i="27"/>
  <c r="K239" i="27"/>
  <c r="J239" i="27"/>
  <c r="I239" i="27"/>
  <c r="H239" i="27"/>
  <c r="G239" i="27"/>
  <c r="F239" i="27"/>
  <c r="E239" i="27"/>
  <c r="D239" i="27"/>
  <c r="K238" i="27"/>
  <c r="J238" i="27"/>
  <c r="I238" i="27"/>
  <c r="H238" i="27"/>
  <c r="G238" i="27"/>
  <c r="F238" i="27"/>
  <c r="E238" i="27"/>
  <c r="D238" i="27"/>
  <c r="K212" i="27"/>
  <c r="J212" i="27"/>
  <c r="I212" i="27"/>
  <c r="H212" i="27"/>
  <c r="G212" i="27"/>
  <c r="F212" i="27"/>
  <c r="E212" i="27"/>
  <c r="D212" i="27"/>
  <c r="K236" i="27"/>
  <c r="J236" i="27"/>
  <c r="I236" i="27"/>
  <c r="H236" i="27"/>
  <c r="G236" i="27"/>
  <c r="F236" i="27"/>
  <c r="E236" i="27"/>
  <c r="D236" i="27"/>
  <c r="K235" i="27"/>
  <c r="J235" i="27"/>
  <c r="I235" i="27"/>
  <c r="H235" i="27"/>
  <c r="G235" i="27"/>
  <c r="F235" i="27"/>
  <c r="E235" i="27"/>
  <c r="D235" i="27"/>
  <c r="K234" i="27"/>
  <c r="J234" i="27"/>
  <c r="I234" i="27"/>
  <c r="H234" i="27"/>
  <c r="G234" i="27"/>
  <c r="F234" i="27"/>
  <c r="E234" i="27"/>
  <c r="D234" i="27"/>
  <c r="K233" i="27"/>
  <c r="J233" i="27"/>
  <c r="I233" i="27"/>
  <c r="H233" i="27"/>
  <c r="G233" i="27"/>
  <c r="F233" i="27"/>
  <c r="E233" i="27"/>
  <c r="D233" i="27"/>
  <c r="K232" i="27"/>
  <c r="J232" i="27"/>
  <c r="I232" i="27"/>
  <c r="H232" i="27"/>
  <c r="G232" i="27"/>
  <c r="F232" i="27"/>
  <c r="E232" i="27"/>
  <c r="D232" i="27"/>
  <c r="K231" i="27"/>
  <c r="J231" i="27"/>
  <c r="I231" i="27"/>
  <c r="H231" i="27"/>
  <c r="G231" i="27"/>
  <c r="F231" i="27"/>
  <c r="E231" i="27"/>
  <c r="D231" i="27"/>
  <c r="K230" i="27"/>
  <c r="J230" i="27"/>
  <c r="I230" i="27"/>
  <c r="H230" i="27"/>
  <c r="G230" i="27"/>
  <c r="F230" i="27"/>
  <c r="E230" i="27"/>
  <c r="D230" i="27"/>
  <c r="K229" i="27"/>
  <c r="J229" i="27"/>
  <c r="I229" i="27"/>
  <c r="H229" i="27"/>
  <c r="G229" i="27"/>
  <c r="F229" i="27"/>
  <c r="E229" i="27"/>
  <c r="D229" i="27"/>
  <c r="K228" i="27"/>
  <c r="J228" i="27"/>
  <c r="I228" i="27"/>
  <c r="H228" i="27"/>
  <c r="G228" i="27"/>
  <c r="F228" i="27"/>
  <c r="E228" i="27"/>
  <c r="D228" i="27"/>
  <c r="K227" i="27"/>
  <c r="J227" i="27"/>
  <c r="I227" i="27"/>
  <c r="H227" i="27"/>
  <c r="G227" i="27"/>
  <c r="F227" i="27"/>
  <c r="E227" i="27"/>
  <c r="D227" i="27"/>
  <c r="K226" i="27"/>
  <c r="J226" i="27"/>
  <c r="I226" i="27"/>
  <c r="H226" i="27"/>
  <c r="G226" i="27"/>
  <c r="F226" i="27"/>
  <c r="E226" i="27"/>
  <c r="D226" i="27"/>
  <c r="K225" i="27"/>
  <c r="J225" i="27"/>
  <c r="I225" i="27"/>
  <c r="H225" i="27"/>
  <c r="G225" i="27"/>
  <c r="F225" i="27"/>
  <c r="E225" i="27"/>
  <c r="D225" i="27"/>
  <c r="K224" i="27"/>
  <c r="J224" i="27"/>
  <c r="I224" i="27"/>
  <c r="H224" i="27"/>
  <c r="G224" i="27"/>
  <c r="F224" i="27"/>
  <c r="E224" i="27"/>
  <c r="D224" i="27"/>
  <c r="K223" i="27"/>
  <c r="J223" i="27"/>
  <c r="I223" i="27"/>
  <c r="H223" i="27"/>
  <c r="G223" i="27"/>
  <c r="F223" i="27"/>
  <c r="E223" i="27"/>
  <c r="D223" i="27"/>
  <c r="K222" i="27"/>
  <c r="J222" i="27"/>
  <c r="I222" i="27"/>
  <c r="H222" i="27"/>
  <c r="G222" i="27"/>
  <c r="F222" i="27"/>
  <c r="E222" i="27"/>
  <c r="D222" i="27"/>
  <c r="K221" i="27"/>
  <c r="J221" i="27"/>
  <c r="I221" i="27"/>
  <c r="H221" i="27"/>
  <c r="G221" i="27"/>
  <c r="F221" i="27"/>
  <c r="E221" i="27"/>
  <c r="D221" i="27"/>
  <c r="K220" i="27"/>
  <c r="J220" i="27"/>
  <c r="I220" i="27"/>
  <c r="H220" i="27"/>
  <c r="G220" i="27"/>
  <c r="F220" i="27"/>
  <c r="E220" i="27"/>
  <c r="D220" i="27"/>
  <c r="K219" i="27"/>
  <c r="J219" i="27"/>
  <c r="I219" i="27"/>
  <c r="H219" i="27"/>
  <c r="G219" i="27"/>
  <c r="F219" i="27"/>
  <c r="E219" i="27"/>
  <c r="D219" i="27"/>
  <c r="K218" i="27"/>
  <c r="J218" i="27"/>
  <c r="I218" i="27"/>
  <c r="H218" i="27"/>
  <c r="G218" i="27"/>
  <c r="F218" i="27"/>
  <c r="E218" i="27"/>
  <c r="D218" i="27"/>
  <c r="K217" i="27"/>
  <c r="J217" i="27"/>
  <c r="I217" i="27"/>
  <c r="H217" i="27"/>
  <c r="G217" i="27"/>
  <c r="F217" i="27"/>
  <c r="E217" i="27"/>
  <c r="D217" i="27"/>
  <c r="K216" i="27"/>
  <c r="J216" i="27"/>
  <c r="I216" i="27"/>
  <c r="H216" i="27"/>
  <c r="G216" i="27"/>
  <c r="F216" i="27"/>
  <c r="E216" i="27"/>
  <c r="D216" i="27"/>
  <c r="K215" i="27"/>
  <c r="J215" i="27"/>
  <c r="I215" i="27"/>
  <c r="H215" i="27"/>
  <c r="G215" i="27"/>
  <c r="F215" i="27"/>
  <c r="E215" i="27"/>
  <c r="D215" i="27"/>
  <c r="K214" i="27"/>
  <c r="J214" i="27"/>
  <c r="I214" i="27"/>
  <c r="H214" i="27"/>
  <c r="G214" i="27"/>
  <c r="F214" i="27"/>
  <c r="E214" i="27"/>
  <c r="D214" i="27"/>
  <c r="K213" i="27"/>
  <c r="J213" i="27"/>
  <c r="I213" i="27"/>
  <c r="H213" i="27"/>
  <c r="G213" i="27"/>
  <c r="F213" i="27"/>
  <c r="E213" i="27"/>
  <c r="D213" i="27"/>
  <c r="K211" i="27"/>
  <c r="J211" i="27"/>
  <c r="I211" i="27"/>
  <c r="H211" i="27"/>
  <c r="G211" i="27"/>
  <c r="F211" i="27"/>
  <c r="E211" i="27"/>
  <c r="D211" i="27"/>
  <c r="K185" i="27"/>
  <c r="J185" i="27"/>
  <c r="I185" i="27"/>
  <c r="H185" i="27"/>
  <c r="G185" i="27"/>
  <c r="F185" i="27"/>
  <c r="E185" i="27"/>
  <c r="D185" i="27"/>
  <c r="K159" i="27"/>
  <c r="J159" i="27"/>
  <c r="I159" i="27"/>
  <c r="H159" i="27"/>
  <c r="G159" i="27"/>
  <c r="F159" i="27"/>
  <c r="E159" i="27"/>
  <c r="D159" i="27"/>
  <c r="K133" i="27"/>
  <c r="J133" i="27"/>
  <c r="I133" i="27"/>
  <c r="H133" i="27"/>
  <c r="G133" i="27"/>
  <c r="F133" i="27"/>
  <c r="E133" i="27"/>
  <c r="D133" i="27"/>
  <c r="K83" i="27"/>
  <c r="J83" i="27"/>
  <c r="I83" i="27"/>
  <c r="H83" i="27"/>
  <c r="G83" i="27"/>
  <c r="F83" i="27"/>
  <c r="E83" i="27"/>
  <c r="D83" i="27"/>
  <c r="K107" i="27"/>
  <c r="J107" i="27"/>
  <c r="I107" i="27"/>
  <c r="H107" i="27"/>
  <c r="G107" i="27"/>
  <c r="F107" i="27"/>
  <c r="E107" i="27"/>
  <c r="D107" i="27"/>
  <c r="D108" i="27"/>
  <c r="E108" i="27"/>
  <c r="F108" i="27"/>
  <c r="G108" i="27"/>
  <c r="H108" i="27"/>
  <c r="I108" i="27"/>
  <c r="J108" i="27"/>
  <c r="K108" i="27"/>
  <c r="K81" i="27"/>
  <c r="J81" i="27"/>
  <c r="I81" i="27"/>
  <c r="H81" i="27"/>
  <c r="G81" i="27"/>
  <c r="F81" i="27"/>
  <c r="E81" i="27"/>
  <c r="D81" i="27"/>
  <c r="K55" i="27"/>
  <c r="J55" i="27"/>
  <c r="I55" i="27"/>
  <c r="H55" i="27"/>
  <c r="G55" i="27"/>
  <c r="F55" i="27"/>
  <c r="E55" i="27"/>
  <c r="D55" i="27"/>
  <c r="K29" i="27"/>
  <c r="J29" i="27"/>
  <c r="I29" i="27"/>
  <c r="H29" i="27"/>
  <c r="G29" i="27"/>
  <c r="F29" i="27"/>
  <c r="E29" i="27"/>
  <c r="D29" i="27"/>
  <c r="G4" i="27"/>
  <c r="G5" i="27"/>
  <c r="G30" i="27"/>
  <c r="G31" i="27"/>
  <c r="G82" i="27"/>
  <c r="G109" i="27"/>
  <c r="G134" i="27"/>
  <c r="G135" i="27"/>
  <c r="G160" i="27"/>
  <c r="G186" i="27"/>
  <c r="G187" i="27"/>
  <c r="K187" i="27"/>
  <c r="J187" i="27"/>
  <c r="I187" i="27"/>
  <c r="H187" i="27"/>
  <c r="F187" i="27"/>
  <c r="E187" i="27"/>
  <c r="D187" i="27"/>
  <c r="K186" i="27"/>
  <c r="J186" i="27"/>
  <c r="I186" i="27"/>
  <c r="H186" i="27"/>
  <c r="F186" i="27"/>
  <c r="E186" i="27"/>
  <c r="D186" i="27"/>
  <c r="K160" i="27"/>
  <c r="J160" i="27"/>
  <c r="I160" i="27"/>
  <c r="H160" i="27"/>
  <c r="F160" i="27"/>
  <c r="E160" i="27"/>
  <c r="D160" i="27"/>
  <c r="K135" i="27"/>
  <c r="J135" i="27"/>
  <c r="I135" i="27"/>
  <c r="H135" i="27"/>
  <c r="F135" i="27"/>
  <c r="E135" i="27"/>
  <c r="D135" i="27"/>
  <c r="K134" i="27"/>
  <c r="J134" i="27"/>
  <c r="I134" i="27"/>
  <c r="H134" i="27"/>
  <c r="F134" i="27"/>
  <c r="E134" i="27"/>
  <c r="D134" i="27"/>
  <c r="K109" i="27"/>
  <c r="J109" i="27"/>
  <c r="I109" i="27"/>
  <c r="H109" i="27"/>
  <c r="F109" i="27"/>
  <c r="E109" i="27"/>
  <c r="D109" i="27"/>
  <c r="K82" i="27"/>
  <c r="J82" i="27"/>
  <c r="I82" i="27"/>
  <c r="H82" i="27"/>
  <c r="F82" i="27"/>
  <c r="E82" i="27"/>
  <c r="D82" i="27"/>
  <c r="K31" i="27"/>
  <c r="J31" i="27"/>
  <c r="I31" i="27"/>
  <c r="H31" i="27"/>
  <c r="F31" i="27"/>
  <c r="E31" i="27"/>
  <c r="D31" i="27"/>
  <c r="K30" i="27"/>
  <c r="J30" i="27"/>
  <c r="I30" i="27"/>
  <c r="H30" i="27"/>
  <c r="F30" i="27"/>
  <c r="E30" i="27"/>
  <c r="D30" i="27"/>
  <c r="K5" i="27"/>
  <c r="J5" i="27"/>
  <c r="I5" i="27"/>
  <c r="H5" i="27"/>
  <c r="F5" i="27"/>
  <c r="E5" i="27"/>
  <c r="D5" i="27"/>
  <c r="K4" i="27"/>
  <c r="J4" i="27"/>
  <c r="I4" i="27"/>
  <c r="H4" i="27"/>
  <c r="F4" i="27"/>
  <c r="E4" i="27"/>
  <c r="D4" i="27"/>
  <c r="T2" i="27" l="1"/>
</calcChain>
</file>

<file path=xl/sharedStrings.xml><?xml version="1.0" encoding="utf-8"?>
<sst xmlns="http://schemas.openxmlformats.org/spreadsheetml/2006/main" count="11690" uniqueCount="1161">
  <si>
    <t>授業授業コード</t>
    <rPh sb="0" eb="2">
      <t>ジュギョ</t>
    </rPh>
    <phoneticPr fontId="6"/>
  </si>
  <si>
    <t>科目名称</t>
    <rPh sb="0" eb="4">
      <t>カモk</t>
    </rPh>
    <phoneticPr fontId="6"/>
  </si>
  <si>
    <t>単位</t>
  </si>
  <si>
    <t>学期</t>
    <rPh sb="0" eb="2">
      <t>ガッk</t>
    </rPh>
    <phoneticPr fontId="6"/>
  </si>
  <si>
    <t>曜日</t>
    <rPh sb="0" eb="2">
      <t>ヨウb</t>
    </rPh>
    <phoneticPr fontId="6"/>
  </si>
  <si>
    <t>講目</t>
    <rPh sb="0" eb="1">
      <t>コウg</t>
    </rPh>
    <rPh sb="1" eb="2">
      <t>メ</t>
    </rPh>
    <phoneticPr fontId="6"/>
  </si>
  <si>
    <t>担当教員</t>
    <rPh sb="0" eb="2">
      <t>タント</t>
    </rPh>
    <rPh sb="2" eb="4">
      <t>キョウイン</t>
    </rPh>
    <phoneticPr fontId="6"/>
  </si>
  <si>
    <t>対象年</t>
    <rPh sb="0" eb="3">
      <t>タイsy</t>
    </rPh>
    <phoneticPr fontId="6"/>
  </si>
  <si>
    <t>学年</t>
    <rPh sb="0" eb="2">
      <t>ガk</t>
    </rPh>
    <phoneticPr fontId="6"/>
  </si>
  <si>
    <t>札幌校</t>
    <rPh sb="0" eb="3">
      <t>サッポr</t>
    </rPh>
    <phoneticPr fontId="6"/>
  </si>
  <si>
    <t>旭川校</t>
    <rPh sb="0" eb="3">
      <t>アs</t>
    </rPh>
    <phoneticPr fontId="6"/>
  </si>
  <si>
    <t>釧路校</t>
    <rPh sb="0" eb="3">
      <t>クシr</t>
    </rPh>
    <phoneticPr fontId="6"/>
  </si>
  <si>
    <t>教育発達専攻</t>
    <rPh sb="0" eb="6">
      <t>キョ</t>
    </rPh>
    <phoneticPr fontId="6"/>
  </si>
  <si>
    <t>国語教育専攻（中)</t>
    <rPh sb="0" eb="6">
      <t>コk</t>
    </rPh>
    <rPh sb="7" eb="8">
      <t>チュ</t>
    </rPh>
    <phoneticPr fontId="6"/>
  </si>
  <si>
    <t>国語教育専攻（小)</t>
    <rPh sb="0" eb="6">
      <t>コk</t>
    </rPh>
    <rPh sb="7" eb="8">
      <t>ショウ</t>
    </rPh>
    <phoneticPr fontId="6"/>
  </si>
  <si>
    <t>キャンパス</t>
    <phoneticPr fontId="6"/>
  </si>
  <si>
    <t>英語教育専攻（中）</t>
    <rPh sb="0" eb="8">
      <t>エ</t>
    </rPh>
    <phoneticPr fontId="6"/>
  </si>
  <si>
    <t>英語教育専攻（小）</t>
    <rPh sb="0" eb="7">
      <t>エ</t>
    </rPh>
    <rPh sb="7" eb="8">
      <t>ショ</t>
    </rPh>
    <phoneticPr fontId="6"/>
  </si>
  <si>
    <t>社会教育専攻（中）</t>
    <rPh sb="0" eb="4">
      <t>シャカ</t>
    </rPh>
    <rPh sb="4" eb="6">
      <t>セン</t>
    </rPh>
    <rPh sb="7" eb="8">
      <t>チュウ</t>
    </rPh>
    <phoneticPr fontId="6"/>
  </si>
  <si>
    <t>社会教育専攻（小）</t>
    <rPh sb="0" eb="4">
      <t>シャカ</t>
    </rPh>
    <rPh sb="4" eb="6">
      <t>セン</t>
    </rPh>
    <rPh sb="7" eb="8">
      <t>ショウ</t>
    </rPh>
    <phoneticPr fontId="6"/>
  </si>
  <si>
    <t>数学教育専攻（中）</t>
    <rPh sb="0" eb="6">
      <t>ス</t>
    </rPh>
    <rPh sb="7" eb="8">
      <t>チュ</t>
    </rPh>
    <phoneticPr fontId="6"/>
  </si>
  <si>
    <t>数学教育専攻（小）</t>
    <rPh sb="0" eb="6">
      <t>ス</t>
    </rPh>
    <rPh sb="7" eb="8">
      <t>ショウ</t>
    </rPh>
    <phoneticPr fontId="6"/>
  </si>
  <si>
    <t>理科教育専攻（中）</t>
    <rPh sb="0" eb="6">
      <t>リk</t>
    </rPh>
    <rPh sb="7" eb="8">
      <t>チュ</t>
    </rPh>
    <phoneticPr fontId="6"/>
  </si>
  <si>
    <t>理科教育専攻（小）</t>
    <rPh sb="0" eb="6">
      <t>リk</t>
    </rPh>
    <rPh sb="7" eb="8">
      <t>ショウ</t>
    </rPh>
    <phoneticPr fontId="6"/>
  </si>
  <si>
    <t>生活・技術教育（中）</t>
    <rPh sb="0" eb="3">
      <t>セイカt</t>
    </rPh>
    <rPh sb="3" eb="5">
      <t>ギジュt</t>
    </rPh>
    <rPh sb="5" eb="7">
      <t>キョウイk</t>
    </rPh>
    <rPh sb="8" eb="10">
      <t>チュ</t>
    </rPh>
    <phoneticPr fontId="6"/>
  </si>
  <si>
    <t>生活・技術教育（小）</t>
    <rPh sb="0" eb="3">
      <t>セイカt</t>
    </rPh>
    <rPh sb="3" eb="5">
      <t>ギジュt</t>
    </rPh>
    <rPh sb="5" eb="7">
      <t>キョウイk</t>
    </rPh>
    <rPh sb="8" eb="9">
      <t>ショ</t>
    </rPh>
    <rPh sb="9" eb="10">
      <t>チュ</t>
    </rPh>
    <phoneticPr fontId="6"/>
  </si>
  <si>
    <t>芸術・保健体育教育(中）</t>
    <rPh sb="0" eb="3">
      <t>ゲイジュt</t>
    </rPh>
    <rPh sb="3" eb="5">
      <t>ホケン</t>
    </rPh>
    <rPh sb="5" eb="7">
      <t>タ</t>
    </rPh>
    <rPh sb="7" eb="9">
      <t>キョウイk</t>
    </rPh>
    <rPh sb="10" eb="11">
      <t>チュ</t>
    </rPh>
    <phoneticPr fontId="6"/>
  </si>
  <si>
    <t>芸術・保健体育教育(小）</t>
    <rPh sb="0" eb="3">
      <t>ゲイジュt</t>
    </rPh>
    <rPh sb="3" eb="5">
      <t>ホケン</t>
    </rPh>
    <rPh sb="5" eb="7">
      <t>タ</t>
    </rPh>
    <rPh sb="7" eb="9">
      <t>キョウイk</t>
    </rPh>
    <rPh sb="10" eb="11">
      <t>sy</t>
    </rPh>
    <phoneticPr fontId="6"/>
  </si>
  <si>
    <t>旭川校専攻</t>
    <rPh sb="0" eb="3">
      <t>アs</t>
    </rPh>
    <rPh sb="3" eb="5">
      <t>センコ</t>
    </rPh>
    <phoneticPr fontId="6"/>
  </si>
  <si>
    <t>未定</t>
    <rPh sb="0" eb="2">
      <t>ミt</t>
    </rPh>
    <phoneticPr fontId="6"/>
  </si>
  <si>
    <t>未定</t>
    <rPh sb="0" eb="2">
      <t>ミテ</t>
    </rPh>
    <phoneticPr fontId="6"/>
  </si>
  <si>
    <t>教養科目（共通基礎科目・日本国憲法）</t>
  </si>
  <si>
    <t>教養科目（共通基礎科目・体育）</t>
  </si>
  <si>
    <t>教養科目（共通基礎科目・情報機器の操作）</t>
  </si>
  <si>
    <t>教養科目（共通基礎科目・外国語・外国語ｺﾐｭﾆｹｰｼｮﾝ）</t>
  </si>
  <si>
    <t>教養科目（共通基礎科目・倫理・人権）</t>
  </si>
  <si>
    <t>教養科目（共通基礎科目・アカデミックスキル）</t>
  </si>
  <si>
    <t>教養科目（基礎教養科目・人文科学入門）</t>
  </si>
  <si>
    <t>教養科目（基礎教養科目・自然科学入門）</t>
  </si>
  <si>
    <t>教養科目（現代的教養科目）</t>
  </si>
  <si>
    <t>科目名称</t>
    <rPh sb="0" eb="2">
      <t>カモk</t>
    </rPh>
    <rPh sb="2" eb="4">
      <t>メ</t>
    </rPh>
    <phoneticPr fontId="6"/>
  </si>
  <si>
    <t>単位</t>
    <rPh sb="0" eb="2">
      <t>タン</t>
    </rPh>
    <phoneticPr fontId="6"/>
  </si>
  <si>
    <t>履修基準分野</t>
    <rPh sb="0" eb="6">
      <t>リシュウk</t>
    </rPh>
    <phoneticPr fontId="6"/>
  </si>
  <si>
    <t>状況</t>
    <rPh sb="0" eb="2">
      <t>jy</t>
    </rPh>
    <phoneticPr fontId="6"/>
  </si>
  <si>
    <t>履修単位数</t>
    <rPh sb="0" eb="5">
      <t>リシュ</t>
    </rPh>
    <phoneticPr fontId="6"/>
  </si>
  <si>
    <t>学年</t>
  </si>
  <si>
    <t>学期</t>
  </si>
  <si>
    <t>後</t>
  </si>
  <si>
    <t>木</t>
  </si>
  <si>
    <t>教育実習I（小学校)</t>
    <rPh sb="0" eb="4">
      <t>キョ</t>
    </rPh>
    <rPh sb="6" eb="9">
      <t>sy</t>
    </rPh>
    <phoneticPr fontId="6"/>
  </si>
  <si>
    <t>教育実習事前事後指導</t>
    <rPh sb="0" eb="10">
      <t>キョ</t>
    </rPh>
    <phoneticPr fontId="6"/>
  </si>
  <si>
    <t>学年</t>
    <rPh sb="0" eb="2">
      <t>ガクネン</t>
    </rPh>
    <phoneticPr fontId="6"/>
  </si>
  <si>
    <t>基礎実習（小学校）</t>
    <rPh sb="0" eb="4">
      <t>キs</t>
    </rPh>
    <rPh sb="5" eb="8">
      <t>sy</t>
    </rPh>
    <phoneticPr fontId="6"/>
  </si>
  <si>
    <t>教職論</t>
    <rPh sb="0" eb="3">
      <t>キョ</t>
    </rPh>
    <phoneticPr fontId="6"/>
  </si>
  <si>
    <t>教育の基礎と理念</t>
    <rPh sb="0" eb="2">
      <t>キョ</t>
    </rPh>
    <rPh sb="3" eb="5">
      <t>キs</t>
    </rPh>
    <rPh sb="6" eb="8">
      <t>リネン</t>
    </rPh>
    <phoneticPr fontId="6"/>
  </si>
  <si>
    <t>発達と学習</t>
    <rPh sb="0" eb="2">
      <t>ハッt</t>
    </rPh>
    <rPh sb="3" eb="5">
      <t>ガクシュ</t>
    </rPh>
    <phoneticPr fontId="6"/>
  </si>
  <si>
    <t>教育過程と教育方法（初等）</t>
    <rPh sb="0" eb="7">
      <t>キョ</t>
    </rPh>
    <rPh sb="7" eb="10">
      <t>ホウホ</t>
    </rPh>
    <rPh sb="10" eb="11">
      <t>ショt</t>
    </rPh>
    <rPh sb="11" eb="12">
      <t>ナド</t>
    </rPh>
    <phoneticPr fontId="6"/>
  </si>
  <si>
    <t>生徒指導・進路指導の理論と方法（初等）</t>
    <rPh sb="0" eb="5">
      <t>セイt</t>
    </rPh>
    <rPh sb="5" eb="9">
      <t>シンr</t>
    </rPh>
    <rPh sb="10" eb="12">
      <t>リロン</t>
    </rPh>
    <rPh sb="13" eb="15">
      <t>ホウホ</t>
    </rPh>
    <rPh sb="16" eb="18">
      <t>syotou</t>
    </rPh>
    <phoneticPr fontId="6"/>
  </si>
  <si>
    <t>教育相談の理論と方法（初等）</t>
    <rPh sb="0" eb="4">
      <t>キョウイk</t>
    </rPh>
    <rPh sb="5" eb="7">
      <t>リロン</t>
    </rPh>
    <rPh sb="8" eb="10">
      <t>ホウホ</t>
    </rPh>
    <rPh sb="11" eb="13">
      <t>sy</t>
    </rPh>
    <phoneticPr fontId="6"/>
  </si>
  <si>
    <t>生徒指導・進路指導の理論と方法（中等）</t>
    <rPh sb="0" eb="5">
      <t>セイt</t>
    </rPh>
    <rPh sb="5" eb="9">
      <t>シンr</t>
    </rPh>
    <rPh sb="10" eb="12">
      <t>リロン</t>
    </rPh>
    <rPh sb="13" eb="15">
      <t>ホウホ</t>
    </rPh>
    <rPh sb="16" eb="17">
      <t>チュ</t>
    </rPh>
    <rPh sb="17" eb="18">
      <t>syotou</t>
    </rPh>
    <phoneticPr fontId="6"/>
  </si>
  <si>
    <t>教育相談の理論と方法（中等）</t>
    <rPh sb="0" eb="4">
      <t>キョウイk</t>
    </rPh>
    <rPh sb="5" eb="7">
      <t>リロン</t>
    </rPh>
    <rPh sb="8" eb="10">
      <t>ホウホ</t>
    </rPh>
    <rPh sb="11" eb="12">
      <t>チュ</t>
    </rPh>
    <rPh sb="12" eb="13">
      <t>sy</t>
    </rPh>
    <phoneticPr fontId="6"/>
  </si>
  <si>
    <t>教育フィールド研究IV</t>
    <rPh sb="0" eb="2">
      <t>キョ</t>
    </rPh>
    <rPh sb="7" eb="9">
      <t>ケン</t>
    </rPh>
    <phoneticPr fontId="6"/>
  </si>
  <si>
    <t>教育過程と教育方法（中等）</t>
    <rPh sb="0" eb="4">
      <t>キョ</t>
    </rPh>
    <rPh sb="5" eb="12">
      <t>キョウイk</t>
    </rPh>
    <phoneticPr fontId="6"/>
  </si>
  <si>
    <t>道徳の指導法（中等）</t>
    <rPh sb="0" eb="7">
      <t>ドウトk</t>
    </rPh>
    <rPh sb="7" eb="9">
      <t>チュ</t>
    </rPh>
    <phoneticPr fontId="6"/>
  </si>
  <si>
    <t>特別活動の指導法（中等）</t>
    <rPh sb="0" eb="5">
      <t>トクベt</t>
    </rPh>
    <rPh sb="5" eb="9">
      <t>シド</t>
    </rPh>
    <rPh sb="9" eb="11">
      <t>チュウト</t>
    </rPh>
    <phoneticPr fontId="6"/>
  </si>
  <si>
    <t>特別支援教育</t>
    <rPh sb="0" eb="6">
      <t>トクベt</t>
    </rPh>
    <phoneticPr fontId="6"/>
  </si>
  <si>
    <t>教育実習I</t>
    <rPh sb="0" eb="4">
      <t>キョ</t>
    </rPh>
    <phoneticPr fontId="6"/>
  </si>
  <si>
    <t>学校臨時研究</t>
    <rPh sb="0" eb="4">
      <t>ガッコ</t>
    </rPh>
    <rPh sb="4" eb="6">
      <t>ケンキュ</t>
    </rPh>
    <phoneticPr fontId="6"/>
  </si>
  <si>
    <t>A1H1</t>
  </si>
  <si>
    <t>前</t>
  </si>
  <si>
    <t>A2H2</t>
  </si>
  <si>
    <t>B</t>
  </si>
  <si>
    <t>CH3</t>
  </si>
  <si>
    <t>D</t>
  </si>
  <si>
    <t>E</t>
  </si>
  <si>
    <t>F</t>
  </si>
  <si>
    <t>G</t>
  </si>
  <si>
    <t>A1</t>
  </si>
  <si>
    <t>A2</t>
  </si>
  <si>
    <t>C</t>
  </si>
  <si>
    <t>D1</t>
  </si>
  <si>
    <t>D2</t>
  </si>
  <si>
    <t>H1</t>
  </si>
  <si>
    <t>H2</t>
  </si>
  <si>
    <t>H3</t>
  </si>
  <si>
    <t>F1G1</t>
  </si>
  <si>
    <t>F2G2</t>
  </si>
  <si>
    <t>H</t>
  </si>
  <si>
    <t>火</t>
  </si>
  <si>
    <t>月</t>
  </si>
  <si>
    <t/>
  </si>
  <si>
    <t>金</t>
  </si>
  <si>
    <t>水</t>
  </si>
  <si>
    <t>A</t>
  </si>
  <si>
    <t>1～4</t>
  </si>
  <si>
    <t>集中</t>
  </si>
  <si>
    <t>社会科教材開発研究Ⅱ</t>
  </si>
  <si>
    <t>4-5A</t>
  </si>
  <si>
    <t>地理学実習Ⅱ</t>
  </si>
  <si>
    <t>社会調査実習Ⅱ</t>
  </si>
  <si>
    <t>日本史演習Ⅱ</t>
  </si>
  <si>
    <t>日本史演習Ⅲ</t>
  </si>
  <si>
    <t>日本史演習Ⅳ</t>
  </si>
  <si>
    <t>外国史演習Ⅱ</t>
  </si>
  <si>
    <t>外国史演習Ⅲ</t>
  </si>
  <si>
    <t>外国史演習Ⅳ</t>
  </si>
  <si>
    <t>法律学演習Ⅱ</t>
  </si>
  <si>
    <t>法律学演習Ⅲ</t>
  </si>
  <si>
    <t>法律学演習Ⅳ</t>
  </si>
  <si>
    <t>社会学演習Ⅱ</t>
  </si>
  <si>
    <t>社会学演習Ⅲ</t>
  </si>
  <si>
    <t>社会学演習Ⅳ</t>
  </si>
  <si>
    <t>経済学演習Ⅱ</t>
  </si>
  <si>
    <t>経済学演習Ⅲ</t>
  </si>
  <si>
    <t>経済学演習Ⅳ</t>
  </si>
  <si>
    <t>倫理学演習Ⅱ</t>
  </si>
  <si>
    <t>倫理学演習Ⅲ</t>
  </si>
  <si>
    <t>倫理学演習Ⅳ</t>
  </si>
  <si>
    <t>物理学概論Ⅱ</t>
  </si>
  <si>
    <t>化学概論Ⅱ</t>
  </si>
  <si>
    <t>生物学概論Ⅱ</t>
  </si>
  <si>
    <t>地学概論Ⅱ</t>
  </si>
  <si>
    <t>中学校理科実験Ⅱ</t>
  </si>
  <si>
    <t>理科教育特講Ⅱ</t>
  </si>
  <si>
    <t>物理学実験Ⅰ</t>
  </si>
  <si>
    <t>物理学実験Ⅱ</t>
  </si>
  <si>
    <t>化学実験Ⅱ</t>
  </si>
  <si>
    <t>生物学実験Ⅰ</t>
  </si>
  <si>
    <t>生物学実験Ⅱ</t>
  </si>
  <si>
    <t>地学実験Ⅱ</t>
  </si>
  <si>
    <t>理科教育実験Ⅱ</t>
  </si>
  <si>
    <t>物理学演習</t>
  </si>
  <si>
    <t>生物学演習</t>
  </si>
  <si>
    <t>地学演習</t>
  </si>
  <si>
    <t>理科教育演習</t>
  </si>
  <si>
    <t>組</t>
  </si>
  <si>
    <t>英語学概論</t>
  </si>
  <si>
    <t>英語コミュニケーションⅠ</t>
  </si>
  <si>
    <t>英語学特論Ⅰ</t>
  </si>
  <si>
    <t>英語コミュニケーション学特講Ⅰ</t>
  </si>
  <si>
    <t>英語教育学演習Ⅰ</t>
  </si>
  <si>
    <t>英語コミュニケーション学演習Ⅰ</t>
  </si>
  <si>
    <t>教職実践研究</t>
  </si>
  <si>
    <t>中学校英語科教育法Ⅱ</t>
  </si>
  <si>
    <t>中学校英語科教育法Ⅲ</t>
  </si>
  <si>
    <t>中学校英語科教育法Ⅰ</t>
  </si>
  <si>
    <t>卒業研究</t>
  </si>
  <si>
    <t>異文化理解</t>
  </si>
  <si>
    <t>2-4</t>
  </si>
  <si>
    <t>専攻科目演習</t>
  </si>
  <si>
    <t>教職実践演習（教諭）</t>
  </si>
  <si>
    <t>組?</t>
  </si>
  <si>
    <t>組</t>
    <rPh sb="0" eb="1">
      <t>クm</t>
    </rPh>
    <phoneticPr fontId="6"/>
  </si>
  <si>
    <t>履修変更時期</t>
    <rPh sb="0" eb="2">
      <t>リシュウ</t>
    </rPh>
    <rPh sb="2" eb="4">
      <t>ヘンコウ</t>
    </rPh>
    <rPh sb="4" eb="6">
      <t>ジキ</t>
    </rPh>
    <phoneticPr fontId="6"/>
  </si>
  <si>
    <t>履修指定時期</t>
    <rPh sb="0" eb="2">
      <t>リシュウ</t>
    </rPh>
    <rPh sb="2" eb="4">
      <t>シテイ</t>
    </rPh>
    <rPh sb="4" eb="6">
      <t>ジキ</t>
    </rPh>
    <phoneticPr fontId="17"/>
  </si>
  <si>
    <t>コード</t>
  </si>
  <si>
    <t>教育発達専攻</t>
  </si>
  <si>
    <t>Japanese</t>
  </si>
  <si>
    <t>教養科目</t>
  </si>
  <si>
    <t>English</t>
  </si>
  <si>
    <t>Kyouyou</t>
  </si>
  <si>
    <t>Kyouhatsu</t>
  </si>
  <si>
    <t>教育実習（小）</t>
  </si>
  <si>
    <t>小</t>
  </si>
  <si>
    <t>Shou</t>
  </si>
  <si>
    <t>JisshuChuu</t>
  </si>
  <si>
    <t>教育実習（中）</t>
  </si>
  <si>
    <t>JisshuShou</t>
  </si>
  <si>
    <t>Jissen</t>
  </si>
  <si>
    <t>実践教育科目</t>
  </si>
  <si>
    <t>Field</t>
  </si>
  <si>
    <t>教育実践フィールド科目</t>
  </si>
  <si>
    <t>Zen</t>
  </si>
  <si>
    <t>Kou</t>
  </si>
  <si>
    <t>Monday</t>
  </si>
  <si>
    <t>Tuesday</t>
  </si>
  <si>
    <t>Wednesday</t>
  </si>
  <si>
    <t>Thursday</t>
  </si>
  <si>
    <t>Friday</t>
  </si>
  <si>
    <t>実習</t>
  </si>
  <si>
    <t>未定</t>
  </si>
  <si>
    <t>不定期</t>
  </si>
  <si>
    <t>Jisshuu</t>
  </si>
  <si>
    <t>Shuuchuu</t>
  </si>
  <si>
    <t>Mitei</t>
  </si>
  <si>
    <t>Futeiki</t>
  </si>
  <si>
    <t>特例</t>
  </si>
  <si>
    <t>Tokurei</t>
  </si>
  <si>
    <t>Kumi</t>
  </si>
  <si>
    <t>Gakunen</t>
  </si>
  <si>
    <t>Gakki</t>
  </si>
  <si>
    <t>授業リスト</t>
  </si>
  <si>
    <t>Jyuugyoulist</t>
  </si>
  <si>
    <t>英語専攻</t>
  </si>
  <si>
    <t>Eigosenkou</t>
  </si>
  <si>
    <t>2Tilde3</t>
    <phoneticPr fontId="6"/>
  </si>
  <si>
    <t>4〜5</t>
  </si>
  <si>
    <t>4Tilde5</t>
    <phoneticPr fontId="6"/>
  </si>
  <si>
    <t>2〜3</t>
    <phoneticPr fontId="6"/>
  </si>
  <si>
    <t>3Tilde4</t>
    <phoneticPr fontId="6"/>
  </si>
  <si>
    <t>1学期</t>
  </si>
  <si>
    <t>SourceFile</t>
    <phoneticPr fontId="6"/>
  </si>
  <si>
    <t>×</t>
  </si>
  <si>
    <t>○</t>
  </si>
  <si>
    <t>2～3</t>
  </si>
  <si>
    <t>教育フィールド研究Ⅳ</t>
  </si>
  <si>
    <t>3-4</t>
    <phoneticPr fontId="6"/>
  </si>
  <si>
    <t>CHECK</t>
    <phoneticPr fontId="6"/>
  </si>
  <si>
    <t>授業数</t>
    <phoneticPr fontId="6"/>
  </si>
  <si>
    <t>履修授業数</t>
    <rPh sb="0" eb="5">
      <t>リシュ</t>
    </rPh>
    <phoneticPr fontId="6"/>
  </si>
  <si>
    <t>履修授業数</t>
    <rPh sb="0" eb="5">
      <t>リシュ</t>
    </rPh>
    <phoneticPr fontId="6"/>
  </si>
  <si>
    <t>履修授業数数</t>
    <rPh sb="0" eb="6">
      <t>リシュ</t>
    </rPh>
    <phoneticPr fontId="6"/>
  </si>
  <si>
    <t>A</t>
    <phoneticPr fontId="6"/>
  </si>
  <si>
    <t>B</t>
    <phoneticPr fontId="6"/>
  </si>
  <si>
    <t>初等英語</t>
    <rPh sb="0" eb="2">
      <t>ショト</t>
    </rPh>
    <phoneticPr fontId="6"/>
  </si>
  <si>
    <t>English Teaching Methodologies</t>
    <phoneticPr fontId="6"/>
  </si>
  <si>
    <t>English Presentation</t>
    <phoneticPr fontId="6"/>
  </si>
  <si>
    <t>English Through Media</t>
  </si>
  <si>
    <t>中等英語科教育法Ⅳ</t>
    <phoneticPr fontId="6"/>
  </si>
  <si>
    <t>初等英語科教育法</t>
  </si>
  <si>
    <t>教科に関する専門科目</t>
    <rPh sb="0" eb="2">
      <t>キョ</t>
    </rPh>
    <phoneticPr fontId="6"/>
  </si>
  <si>
    <t>英語文学概論Ⅰ</t>
    <rPh sb="0" eb="1">
      <t>g</t>
    </rPh>
    <phoneticPr fontId="6"/>
  </si>
  <si>
    <t>英語文学概論Ⅱ</t>
    <rPh sb="0" eb="1">
      <t>g</t>
    </rPh>
    <phoneticPr fontId="6"/>
  </si>
  <si>
    <t>英語文学特講Ⅰ</t>
    <rPh sb="0" eb="1">
      <t>g</t>
    </rPh>
    <phoneticPr fontId="6"/>
  </si>
  <si>
    <t>英語文学特講Ⅱ</t>
    <rPh sb="0" eb="1">
      <t>g</t>
    </rPh>
    <phoneticPr fontId="6"/>
  </si>
  <si>
    <t>英語学特論Ⅱ</t>
    <phoneticPr fontId="6"/>
  </si>
  <si>
    <t>英語教育学演習Ⅱ</t>
    <phoneticPr fontId="6"/>
  </si>
  <si>
    <t>初等国語</t>
    <rPh sb="0" eb="2">
      <t>ショトウ</t>
    </rPh>
    <rPh sb="2" eb="4">
      <t>コクゴ</t>
    </rPh>
    <phoneticPr fontId="5"/>
  </si>
  <si>
    <t>初等社会</t>
    <rPh sb="0" eb="2">
      <t>ショトウ</t>
    </rPh>
    <rPh sb="2" eb="4">
      <t>シャカイ</t>
    </rPh>
    <phoneticPr fontId="5"/>
  </si>
  <si>
    <t>初等算数</t>
    <rPh sb="0" eb="2">
      <t>ショトウ</t>
    </rPh>
    <rPh sb="2" eb="4">
      <t>サンスウ</t>
    </rPh>
    <phoneticPr fontId="5"/>
  </si>
  <si>
    <t>初等生活</t>
    <rPh sb="0" eb="2">
      <t>ショトウ</t>
    </rPh>
    <rPh sb="2" eb="4">
      <t>セイカツ</t>
    </rPh>
    <phoneticPr fontId="5"/>
  </si>
  <si>
    <t>初等音楽</t>
    <rPh sb="0" eb="2">
      <t>ショトウ</t>
    </rPh>
    <rPh sb="2" eb="4">
      <t>オンガク</t>
    </rPh>
    <phoneticPr fontId="5"/>
  </si>
  <si>
    <t>初等図画工作</t>
    <rPh sb="0" eb="2">
      <t>ショトウ</t>
    </rPh>
    <rPh sb="2" eb="4">
      <t>ズガ</t>
    </rPh>
    <rPh sb="4" eb="6">
      <t>コウサク</t>
    </rPh>
    <phoneticPr fontId="5"/>
  </si>
  <si>
    <t>初等家庭</t>
    <rPh sb="0" eb="2">
      <t>ショトウ</t>
    </rPh>
    <rPh sb="2" eb="4">
      <t>カテイ</t>
    </rPh>
    <phoneticPr fontId="5"/>
  </si>
  <si>
    <t>初等体育</t>
    <rPh sb="0" eb="2">
      <t>ショトウ</t>
    </rPh>
    <rPh sb="2" eb="4">
      <t>タイイク</t>
    </rPh>
    <phoneticPr fontId="5"/>
  </si>
  <si>
    <t>初等英語</t>
    <rPh sb="0" eb="2">
      <t>ショトウ</t>
    </rPh>
    <rPh sb="2" eb="4">
      <t>エイゴ</t>
    </rPh>
    <phoneticPr fontId="6"/>
  </si>
  <si>
    <t>初等国語科教育法</t>
    <rPh sb="0" eb="2">
      <t>ショトウ</t>
    </rPh>
    <rPh sb="2" eb="4">
      <t>コクゴ</t>
    </rPh>
    <rPh sb="4" eb="5">
      <t>カ</t>
    </rPh>
    <rPh sb="5" eb="8">
      <t>キョウイクホウ</t>
    </rPh>
    <phoneticPr fontId="5"/>
  </si>
  <si>
    <t>初等社会科教育法</t>
    <rPh sb="0" eb="2">
      <t>ショトウ</t>
    </rPh>
    <rPh sb="2" eb="4">
      <t>シャカイ</t>
    </rPh>
    <rPh sb="4" eb="5">
      <t>カ</t>
    </rPh>
    <rPh sb="5" eb="8">
      <t>キョウイクホウ</t>
    </rPh>
    <phoneticPr fontId="5"/>
  </si>
  <si>
    <t>初等算数科教育法</t>
    <rPh sb="0" eb="2">
      <t>ショトウ</t>
    </rPh>
    <rPh sb="2" eb="4">
      <t>サンスウ</t>
    </rPh>
    <rPh sb="4" eb="5">
      <t>カ</t>
    </rPh>
    <rPh sb="5" eb="8">
      <t>キョウイクホウ</t>
    </rPh>
    <phoneticPr fontId="5"/>
  </si>
  <si>
    <t>初等理科教育法</t>
    <rPh sb="0" eb="2">
      <t>ショトウ</t>
    </rPh>
    <rPh sb="2" eb="4">
      <t>リカ</t>
    </rPh>
    <rPh sb="4" eb="7">
      <t>キョウイクホウ</t>
    </rPh>
    <phoneticPr fontId="5"/>
  </si>
  <si>
    <t>初等生活科教育法</t>
    <rPh sb="0" eb="2">
      <t>ショトウ</t>
    </rPh>
    <rPh sb="2" eb="4">
      <t>セイカツ</t>
    </rPh>
    <rPh sb="4" eb="5">
      <t>カ</t>
    </rPh>
    <rPh sb="5" eb="8">
      <t>キョウイクホウ</t>
    </rPh>
    <phoneticPr fontId="5"/>
  </si>
  <si>
    <t>初等音楽科教育法</t>
    <rPh sb="0" eb="2">
      <t>ショトウ</t>
    </rPh>
    <rPh sb="2" eb="4">
      <t>オンガク</t>
    </rPh>
    <rPh sb="4" eb="5">
      <t>カ</t>
    </rPh>
    <rPh sb="5" eb="8">
      <t>キョウイクホウ</t>
    </rPh>
    <phoneticPr fontId="5"/>
  </si>
  <si>
    <t>初等図画工作科教育法</t>
    <rPh sb="0" eb="2">
      <t>ショトウ</t>
    </rPh>
    <rPh sb="2" eb="4">
      <t>ズガ</t>
    </rPh>
    <rPh sb="4" eb="6">
      <t>コウサク</t>
    </rPh>
    <rPh sb="6" eb="7">
      <t>カ</t>
    </rPh>
    <rPh sb="7" eb="10">
      <t>キョウイクホウ</t>
    </rPh>
    <phoneticPr fontId="5"/>
  </si>
  <si>
    <t>初等家庭科教育法</t>
    <rPh sb="0" eb="2">
      <t>ショトウ</t>
    </rPh>
    <rPh sb="2" eb="4">
      <t>カテイ</t>
    </rPh>
    <rPh sb="4" eb="5">
      <t>カ</t>
    </rPh>
    <rPh sb="5" eb="8">
      <t>キョウイクホウ</t>
    </rPh>
    <phoneticPr fontId="5"/>
  </si>
  <si>
    <t>初等体育科教育法</t>
    <rPh sb="0" eb="2">
      <t>ショトウ</t>
    </rPh>
    <rPh sb="2" eb="4">
      <t>タイイク</t>
    </rPh>
    <rPh sb="4" eb="5">
      <t>カ</t>
    </rPh>
    <rPh sb="5" eb="8">
      <t>キョウイクホウ</t>
    </rPh>
    <phoneticPr fontId="5"/>
  </si>
  <si>
    <t>Event</t>
  </si>
  <si>
    <t>Time</t>
  </si>
  <si>
    <t>Yes</t>
  </si>
  <si>
    <t>Business Writing</t>
  </si>
  <si>
    <t>小学校免許</t>
  </si>
  <si>
    <t>音楽、図工、体育のうち２教</t>
  </si>
  <si>
    <t>教科に関する専門的事項</t>
  </si>
  <si>
    <t>各教科の指導法</t>
  </si>
  <si>
    <t>ShoMen</t>
  </si>
  <si>
    <t>英語教育専攻</t>
  </si>
  <si>
    <t>教育実習</t>
  </si>
  <si>
    <t>Y</t>
  </si>
  <si>
    <t>NG</t>
  </si>
  <si>
    <t>OKAY</t>
  </si>
  <si>
    <t>【修正済】令和3年度開設科目一覧（新カリ・H31以降入学者用）</t>
  </si>
  <si>
    <t>中等理科教育法Ⅰ</t>
    <rPh sb="0" eb="2">
      <t>チュウトウ</t>
    </rPh>
    <rPh sb="2" eb="4">
      <t>リカ</t>
    </rPh>
    <rPh sb="4" eb="7">
      <t>キョウイクホウ</t>
    </rPh>
    <phoneticPr fontId="6"/>
  </si>
  <si>
    <t>中等理科教育法Ⅱ</t>
    <rPh sb="0" eb="2">
      <t>チュウトウ</t>
    </rPh>
    <rPh sb="2" eb="4">
      <t>リカ</t>
    </rPh>
    <rPh sb="4" eb="7">
      <t>キョウイクホウ</t>
    </rPh>
    <phoneticPr fontId="6"/>
  </si>
  <si>
    <t>中等理科教育法Ⅲ</t>
    <rPh sb="0" eb="2">
      <t>チュウトウ</t>
    </rPh>
    <rPh sb="2" eb="4">
      <t>リカ</t>
    </rPh>
    <rPh sb="4" eb="7">
      <t>キョウイクホウ</t>
    </rPh>
    <phoneticPr fontId="6"/>
  </si>
  <si>
    <t>中等理科教育法Ⅳ</t>
    <rPh sb="0" eb="2">
      <t>チュウトウ</t>
    </rPh>
    <rPh sb="2" eb="4">
      <t>リカ</t>
    </rPh>
    <rPh sb="4" eb="7">
      <t>キョウイクホウ</t>
    </rPh>
    <phoneticPr fontId="6"/>
  </si>
  <si>
    <t>教育実習（初等）Ⅰ</t>
    <rPh sb="0" eb="2">
      <t>キョウイク</t>
    </rPh>
    <rPh sb="2" eb="4">
      <t>ジッシュウ</t>
    </rPh>
    <rPh sb="5" eb="7">
      <t>ショトウ</t>
    </rPh>
    <phoneticPr fontId="6"/>
  </si>
  <si>
    <t>教育哲学演習Ⅰ</t>
    <rPh sb="0" eb="2">
      <t>キョウイク</t>
    </rPh>
    <rPh sb="2" eb="4">
      <t>テツガク</t>
    </rPh>
    <rPh sb="4" eb="6">
      <t>エンシュウ</t>
    </rPh>
    <phoneticPr fontId="6"/>
  </si>
  <si>
    <t>教育哲学演習Ⅱ</t>
    <rPh sb="0" eb="2">
      <t>キョウイク</t>
    </rPh>
    <rPh sb="2" eb="4">
      <t>テツガク</t>
    </rPh>
    <rPh sb="4" eb="6">
      <t>エンシュウ</t>
    </rPh>
    <phoneticPr fontId="6"/>
  </si>
  <si>
    <t>教育哲学演習Ⅲ</t>
    <rPh sb="0" eb="2">
      <t>キョウイク</t>
    </rPh>
    <rPh sb="2" eb="4">
      <t>テツガク</t>
    </rPh>
    <rPh sb="4" eb="6">
      <t>エンシュウ</t>
    </rPh>
    <phoneticPr fontId="6"/>
  </si>
  <si>
    <t>教育哲学演習Ⅳ</t>
    <rPh sb="0" eb="2">
      <t>キョウイク</t>
    </rPh>
    <rPh sb="2" eb="4">
      <t>テツガク</t>
    </rPh>
    <rPh sb="4" eb="6">
      <t>エンシュウ</t>
    </rPh>
    <phoneticPr fontId="6"/>
  </si>
  <si>
    <t>教育史演習Ⅰ</t>
    <rPh sb="0" eb="3">
      <t>キョウイクシ</t>
    </rPh>
    <rPh sb="3" eb="5">
      <t>エンシュウ</t>
    </rPh>
    <phoneticPr fontId="6"/>
  </si>
  <si>
    <t>教育史演習Ⅱ</t>
    <rPh sb="0" eb="3">
      <t>キョウイクシ</t>
    </rPh>
    <rPh sb="3" eb="5">
      <t>エンシュウ</t>
    </rPh>
    <phoneticPr fontId="6"/>
  </si>
  <si>
    <t>教育史演習Ⅲ</t>
    <rPh sb="0" eb="3">
      <t>キョウイクシ</t>
    </rPh>
    <rPh sb="3" eb="5">
      <t>エンシュウ</t>
    </rPh>
    <phoneticPr fontId="6"/>
  </si>
  <si>
    <t>教育史演習Ⅳ</t>
    <rPh sb="0" eb="3">
      <t>キョウイクシ</t>
    </rPh>
    <rPh sb="3" eb="5">
      <t>エンシュウ</t>
    </rPh>
    <phoneticPr fontId="6"/>
  </si>
  <si>
    <t>教育方法学演習Ⅰ</t>
    <rPh sb="0" eb="2">
      <t>キョウイク</t>
    </rPh>
    <rPh sb="2" eb="4">
      <t>ホウホウ</t>
    </rPh>
    <rPh sb="4" eb="5">
      <t>ガク</t>
    </rPh>
    <rPh sb="5" eb="7">
      <t>エンシュウ</t>
    </rPh>
    <phoneticPr fontId="6"/>
  </si>
  <si>
    <t>教育方法学演習Ⅱ</t>
    <rPh sb="0" eb="2">
      <t>キョウイク</t>
    </rPh>
    <rPh sb="2" eb="4">
      <t>ホウホウ</t>
    </rPh>
    <rPh sb="4" eb="5">
      <t>ガク</t>
    </rPh>
    <rPh sb="5" eb="7">
      <t>エンシュウ</t>
    </rPh>
    <phoneticPr fontId="6"/>
  </si>
  <si>
    <t>教育方法学演習Ⅲ</t>
    <rPh sb="0" eb="2">
      <t>キョウイク</t>
    </rPh>
    <rPh sb="2" eb="4">
      <t>ホウホウ</t>
    </rPh>
    <rPh sb="4" eb="5">
      <t>ガク</t>
    </rPh>
    <rPh sb="5" eb="7">
      <t>エンシュウ</t>
    </rPh>
    <phoneticPr fontId="6"/>
  </si>
  <si>
    <t>教育方法学演習Ⅳ</t>
    <rPh sb="0" eb="2">
      <t>キョウイク</t>
    </rPh>
    <rPh sb="2" eb="4">
      <t>ホウホウ</t>
    </rPh>
    <rPh sb="4" eb="5">
      <t>ガク</t>
    </rPh>
    <rPh sb="5" eb="7">
      <t>エンシュウ</t>
    </rPh>
    <phoneticPr fontId="6"/>
  </si>
  <si>
    <t>教育社会学演習Ⅰ</t>
    <rPh sb="0" eb="2">
      <t>キョウイク</t>
    </rPh>
    <rPh sb="2" eb="5">
      <t>シャカイガク</t>
    </rPh>
    <rPh sb="5" eb="7">
      <t>エンシュウ</t>
    </rPh>
    <phoneticPr fontId="6"/>
  </si>
  <si>
    <t>教育社会学演習Ⅱ</t>
    <rPh sb="0" eb="2">
      <t>キョウイク</t>
    </rPh>
    <rPh sb="2" eb="5">
      <t>シャカイガク</t>
    </rPh>
    <rPh sb="5" eb="7">
      <t>エンシュウ</t>
    </rPh>
    <phoneticPr fontId="6"/>
  </si>
  <si>
    <t>教育社会学演習Ⅲ</t>
    <rPh sb="0" eb="2">
      <t>キョウイク</t>
    </rPh>
    <rPh sb="2" eb="5">
      <t>シャカイガク</t>
    </rPh>
    <rPh sb="5" eb="7">
      <t>エンシュウ</t>
    </rPh>
    <phoneticPr fontId="6"/>
  </si>
  <si>
    <t>教育社会学演習Ⅳ</t>
    <rPh sb="0" eb="2">
      <t>キョウイク</t>
    </rPh>
    <rPh sb="2" eb="5">
      <t>シャカイガク</t>
    </rPh>
    <rPh sb="5" eb="7">
      <t>エンシュウ</t>
    </rPh>
    <phoneticPr fontId="6"/>
  </si>
  <si>
    <t>生徒指導論演習Ⅰ</t>
    <rPh sb="0" eb="2">
      <t>セイト</t>
    </rPh>
    <rPh sb="2" eb="4">
      <t>シドウ</t>
    </rPh>
    <rPh sb="4" eb="5">
      <t>ロン</t>
    </rPh>
    <rPh sb="5" eb="7">
      <t>エンシュウ</t>
    </rPh>
    <phoneticPr fontId="6"/>
  </si>
  <si>
    <t>生徒指導論演習Ⅱ</t>
    <rPh sb="0" eb="2">
      <t>セイト</t>
    </rPh>
    <rPh sb="2" eb="4">
      <t>シドウ</t>
    </rPh>
    <rPh sb="4" eb="5">
      <t>ロン</t>
    </rPh>
    <rPh sb="5" eb="7">
      <t>エンシュウ</t>
    </rPh>
    <phoneticPr fontId="6"/>
  </si>
  <si>
    <t>生徒指導論演習Ⅲ</t>
    <rPh sb="0" eb="2">
      <t>セイト</t>
    </rPh>
    <rPh sb="2" eb="4">
      <t>シドウ</t>
    </rPh>
    <rPh sb="4" eb="5">
      <t>ロン</t>
    </rPh>
    <rPh sb="5" eb="7">
      <t>エンシュウ</t>
    </rPh>
    <phoneticPr fontId="6"/>
  </si>
  <si>
    <t>生徒指導論演習Ⅳ</t>
    <rPh sb="0" eb="2">
      <t>セイト</t>
    </rPh>
    <rPh sb="2" eb="4">
      <t>シドウ</t>
    </rPh>
    <rPh sb="4" eb="5">
      <t>ロン</t>
    </rPh>
    <rPh sb="5" eb="7">
      <t>エンシュウ</t>
    </rPh>
    <phoneticPr fontId="6"/>
  </si>
  <si>
    <t>教育制度・学校経営演習Ⅰ</t>
    <rPh sb="0" eb="2">
      <t>キョウイク</t>
    </rPh>
    <rPh sb="2" eb="4">
      <t>セイド</t>
    </rPh>
    <rPh sb="5" eb="7">
      <t>ガッコウ</t>
    </rPh>
    <rPh sb="7" eb="9">
      <t>ケイエイ</t>
    </rPh>
    <rPh sb="9" eb="11">
      <t>エンシュウ</t>
    </rPh>
    <phoneticPr fontId="6"/>
  </si>
  <si>
    <t>教育制度・学校経営演習Ⅱ</t>
    <rPh sb="0" eb="2">
      <t>キョウイク</t>
    </rPh>
    <rPh sb="2" eb="4">
      <t>セイド</t>
    </rPh>
    <rPh sb="5" eb="7">
      <t>ガッコウ</t>
    </rPh>
    <rPh sb="7" eb="9">
      <t>ケイエイ</t>
    </rPh>
    <rPh sb="9" eb="11">
      <t>エンシュウ</t>
    </rPh>
    <phoneticPr fontId="6"/>
  </si>
  <si>
    <t>教育制度・学校経営演習Ⅲ</t>
    <rPh sb="0" eb="2">
      <t>キョウイク</t>
    </rPh>
    <rPh sb="2" eb="4">
      <t>セイド</t>
    </rPh>
    <rPh sb="5" eb="7">
      <t>ガッコウ</t>
    </rPh>
    <rPh sb="7" eb="9">
      <t>ケイエイ</t>
    </rPh>
    <rPh sb="9" eb="11">
      <t>エンシュウ</t>
    </rPh>
    <phoneticPr fontId="6"/>
  </si>
  <si>
    <t>教育制度・学校経営演習Ⅳ</t>
    <rPh sb="0" eb="2">
      <t>キョウイク</t>
    </rPh>
    <rPh sb="2" eb="4">
      <t>セイド</t>
    </rPh>
    <rPh sb="5" eb="7">
      <t>ガッコウ</t>
    </rPh>
    <rPh sb="7" eb="9">
      <t>ケイエイ</t>
    </rPh>
    <rPh sb="9" eb="11">
      <t>エンシュウ</t>
    </rPh>
    <phoneticPr fontId="6"/>
  </si>
  <si>
    <t>社会調査実習Ⅰ</t>
    <phoneticPr fontId="7"/>
  </si>
  <si>
    <t>社会科教育演習Ⅰ</t>
    <rPh sb="0" eb="3">
      <t>シャカイカ</t>
    </rPh>
    <rPh sb="3" eb="5">
      <t>キョウイク</t>
    </rPh>
    <rPh sb="5" eb="7">
      <t>エンシュウ</t>
    </rPh>
    <phoneticPr fontId="6"/>
  </si>
  <si>
    <t>社会科教育演習Ⅱ</t>
    <rPh sb="0" eb="3">
      <t>シャカイカ</t>
    </rPh>
    <rPh sb="3" eb="5">
      <t>キョウイク</t>
    </rPh>
    <rPh sb="5" eb="7">
      <t>エンシュウ</t>
    </rPh>
    <phoneticPr fontId="6"/>
  </si>
  <si>
    <t>社会科教育演習Ⅲ</t>
    <rPh sb="0" eb="3">
      <t>シャカイカ</t>
    </rPh>
    <rPh sb="3" eb="5">
      <t>キョウイク</t>
    </rPh>
    <rPh sb="5" eb="7">
      <t>エンシュウ</t>
    </rPh>
    <phoneticPr fontId="6"/>
  </si>
  <si>
    <t>社会科教育演習Ⅳ</t>
    <rPh sb="0" eb="3">
      <t>シャカイカ</t>
    </rPh>
    <rPh sb="3" eb="5">
      <t>キョウイク</t>
    </rPh>
    <rPh sb="5" eb="7">
      <t>エンシュウ</t>
    </rPh>
    <phoneticPr fontId="6"/>
  </si>
  <si>
    <t>社会科教育演習Ⅴ</t>
    <rPh sb="0" eb="3">
      <t>シャカイカ</t>
    </rPh>
    <rPh sb="3" eb="5">
      <t>キョウイク</t>
    </rPh>
    <rPh sb="5" eb="7">
      <t>エンシュウ</t>
    </rPh>
    <phoneticPr fontId="6"/>
  </si>
  <si>
    <t>社会科教育演習Ⅵ</t>
    <rPh sb="0" eb="3">
      <t>シャカイカ</t>
    </rPh>
    <rPh sb="3" eb="5">
      <t>キョウイク</t>
    </rPh>
    <rPh sb="5" eb="7">
      <t>エンシュウ</t>
    </rPh>
    <phoneticPr fontId="6"/>
  </si>
  <si>
    <t>社会科教育演習Ⅶ</t>
    <rPh sb="0" eb="3">
      <t>シャカイカ</t>
    </rPh>
    <rPh sb="3" eb="5">
      <t>キョウイク</t>
    </rPh>
    <rPh sb="5" eb="7">
      <t>エンシュウ</t>
    </rPh>
    <phoneticPr fontId="6"/>
  </si>
  <si>
    <t>社会科教育演習Ⅷ</t>
    <rPh sb="0" eb="3">
      <t>シャカイカ</t>
    </rPh>
    <rPh sb="3" eb="5">
      <t>キョウイク</t>
    </rPh>
    <rPh sb="5" eb="7">
      <t>エンシュウ</t>
    </rPh>
    <phoneticPr fontId="6"/>
  </si>
  <si>
    <t>地理学実習Ⅰ</t>
    <phoneticPr fontId="7"/>
  </si>
  <si>
    <t>日本史演習Ⅰ</t>
    <phoneticPr fontId="7"/>
  </si>
  <si>
    <t>外国史演習Ⅰ</t>
    <phoneticPr fontId="7"/>
  </si>
  <si>
    <t>法律学演習Ⅰ</t>
    <phoneticPr fontId="7"/>
  </si>
  <si>
    <t>社会学演習Ⅰ</t>
    <phoneticPr fontId="7"/>
  </si>
  <si>
    <t>経済学演習Ⅰ</t>
    <phoneticPr fontId="7"/>
  </si>
  <si>
    <t>倫理学演習Ⅰ</t>
    <phoneticPr fontId="7"/>
  </si>
  <si>
    <t>物理学基礎実験</t>
    <phoneticPr fontId="7"/>
  </si>
  <si>
    <t>化学基礎実験</t>
    <phoneticPr fontId="7"/>
  </si>
  <si>
    <t>生物学基礎実験</t>
    <phoneticPr fontId="7"/>
  </si>
  <si>
    <t>地学基礎実験</t>
    <phoneticPr fontId="7"/>
  </si>
  <si>
    <t>力学</t>
    <phoneticPr fontId="7"/>
  </si>
  <si>
    <t>電磁気学</t>
    <phoneticPr fontId="7"/>
  </si>
  <si>
    <t>有機化学</t>
    <phoneticPr fontId="7"/>
  </si>
  <si>
    <t>生物化学</t>
    <phoneticPr fontId="7"/>
  </si>
  <si>
    <t>動物分類学</t>
    <phoneticPr fontId="7"/>
  </si>
  <si>
    <t>岩石学</t>
    <phoneticPr fontId="7"/>
  </si>
  <si>
    <t>中学校理科実験Ⅰ</t>
    <phoneticPr fontId="7"/>
  </si>
  <si>
    <t xml:space="preserve">理科教材開発研究 </t>
    <phoneticPr fontId="7"/>
  </si>
  <si>
    <t>熱力学</t>
    <phoneticPr fontId="7"/>
  </si>
  <si>
    <t>植物分類学</t>
    <phoneticPr fontId="7"/>
  </si>
  <si>
    <t>遺伝学</t>
    <phoneticPr fontId="7"/>
  </si>
  <si>
    <t>細胞学</t>
    <phoneticPr fontId="7"/>
  </si>
  <si>
    <t>天体物理学</t>
    <phoneticPr fontId="7"/>
  </si>
  <si>
    <t>環境地球科学</t>
    <phoneticPr fontId="7"/>
  </si>
  <si>
    <t>無機化学</t>
    <phoneticPr fontId="7"/>
  </si>
  <si>
    <t>分析化学</t>
    <phoneticPr fontId="7"/>
  </si>
  <si>
    <t>理科教育特講Ⅰ</t>
    <phoneticPr fontId="7"/>
  </si>
  <si>
    <t>理科教材開発実習</t>
    <phoneticPr fontId="7"/>
  </si>
  <si>
    <t>地学野外実習</t>
    <phoneticPr fontId="7"/>
  </si>
  <si>
    <t>生物学野外実習</t>
    <phoneticPr fontId="7"/>
  </si>
  <si>
    <t>化学実験Ⅰ</t>
    <phoneticPr fontId="7"/>
  </si>
  <si>
    <t>地学実験Ⅰ</t>
    <phoneticPr fontId="7"/>
  </si>
  <si>
    <t>理科教育実験Ⅰ</t>
    <phoneticPr fontId="7"/>
  </si>
  <si>
    <t>教育実践</t>
  </si>
  <si>
    <t>English-based</t>
  </si>
  <si>
    <t>教科に関する専門科目</t>
  </si>
  <si>
    <t>教科指導法科目</t>
  </si>
  <si>
    <t>教育学分野（必修）</t>
  </si>
  <si>
    <t>教育学分野（選択）</t>
  </si>
  <si>
    <t>教育方法学特講</t>
  </si>
  <si>
    <t>教育社会学特講</t>
  </si>
  <si>
    <t>生徒指導論特講</t>
  </si>
  <si>
    <t>教育哲学特講</t>
  </si>
  <si>
    <t>教育史特講</t>
  </si>
  <si>
    <t>教育制度・学校経営特講</t>
  </si>
  <si>
    <t>専攻タブ</t>
  </si>
  <si>
    <t>教育学</t>
  </si>
  <si>
    <t>社会専攻</t>
  </si>
  <si>
    <t>理科専攻</t>
  </si>
  <si>
    <t>SenkouIchiran</t>
  </si>
  <si>
    <t>専攻一覧</t>
  </si>
  <si>
    <t>Column</t>
  </si>
  <si>
    <t>O</t>
  </si>
  <si>
    <t>T</t>
  </si>
  <si>
    <t>U</t>
  </si>
  <si>
    <t>V</t>
  </si>
  <si>
    <t>基礎実習</t>
  </si>
  <si>
    <t>初等理科</t>
  </si>
  <si>
    <t>教科</t>
  </si>
  <si>
    <t>初等社会</t>
  </si>
  <si>
    <t>教科中等</t>
  </si>
  <si>
    <t>日本史概論</t>
  </si>
  <si>
    <t>外国史概論</t>
  </si>
  <si>
    <t>倫理学概論</t>
  </si>
  <si>
    <t>教科中等（選択）</t>
  </si>
  <si>
    <t>地理学概論</t>
  </si>
  <si>
    <t>地誌学</t>
  </si>
  <si>
    <t>自然地理学</t>
  </si>
  <si>
    <t>法律学概論</t>
  </si>
  <si>
    <t>政治学概論</t>
  </si>
  <si>
    <t>経済学概論</t>
  </si>
  <si>
    <t>社会学概論</t>
  </si>
  <si>
    <t>社会調査論</t>
  </si>
  <si>
    <t>中等社会科教育法Ⅰ</t>
  </si>
  <si>
    <t>中等社会科教育法Ⅱ</t>
  </si>
  <si>
    <t>中等社会科教育法Ⅲ</t>
  </si>
  <si>
    <t>中等社会科教育法Ⅳ</t>
  </si>
  <si>
    <t>教育方法</t>
  </si>
  <si>
    <t>社会教材発達研究</t>
  </si>
  <si>
    <t>日本史特講</t>
  </si>
  <si>
    <t>外国史特講</t>
  </si>
  <si>
    <t>倫理学特講</t>
  </si>
  <si>
    <t>法律学特講</t>
  </si>
  <si>
    <t>社会学特講</t>
  </si>
  <si>
    <t>経済学特講</t>
  </si>
  <si>
    <t>専攻科目</t>
  </si>
  <si>
    <t>初等</t>
  </si>
  <si>
    <t>初等教育法</t>
  </si>
  <si>
    <t>初等理科教育法</t>
  </si>
  <si>
    <t>物理学概論Ⅰ</t>
  </si>
  <si>
    <t>化学概論Ⅰ</t>
  </si>
  <si>
    <t>生物学概論Ⅰ</t>
  </si>
  <si>
    <t>地学概論Ⅰ</t>
  </si>
  <si>
    <t>教育法</t>
  </si>
  <si>
    <t>専攻科目(必修)</t>
  </si>
  <si>
    <t>演習</t>
  </si>
  <si>
    <t>化学演習</t>
  </si>
  <si>
    <t>実験</t>
  </si>
  <si>
    <t>Rebuild List</t>
  </si>
  <si>
    <t>Presentation</t>
  </si>
  <si>
    <t>初等社会科教育法</t>
  </si>
  <si>
    <t>社会科教材開発研究Ⅰ</t>
  </si>
  <si>
    <t>地理学実験Ⅰ</t>
  </si>
  <si>
    <t>Business Communication &amp; IT</t>
  </si>
  <si>
    <t>Teaching Methodologies for
English-mediated Instruction</t>
  </si>
  <si>
    <t>1-2</t>
  </si>
  <si>
    <t>English Teaching Methodologies</t>
  </si>
  <si>
    <t>English Presentation</t>
  </si>
  <si>
    <t>政治学演習Ⅰ</t>
  </si>
  <si>
    <t>政治学演習Ⅱ</t>
  </si>
  <si>
    <t>政治学演習Ⅲ</t>
  </si>
  <si>
    <t>政治学演習Ⅳ</t>
  </si>
  <si>
    <t>英語教育専攻（中）</t>
  </si>
  <si>
    <t>AEFGH</t>
    <phoneticPr fontId="5"/>
  </si>
  <si>
    <t>前</t>
    <rPh sb="0" eb="1">
      <t>マエ</t>
    </rPh>
    <phoneticPr fontId="5"/>
  </si>
  <si>
    <t>金</t>
    <rPh sb="0" eb="1">
      <t>キン</t>
    </rPh>
    <phoneticPr fontId="5"/>
  </si>
  <si>
    <t>BCD</t>
    <phoneticPr fontId="5"/>
  </si>
  <si>
    <t>後</t>
    <rPh sb="0" eb="1">
      <t>ウシ</t>
    </rPh>
    <phoneticPr fontId="5"/>
  </si>
  <si>
    <t>金</t>
    <rPh sb="0" eb="1">
      <t>キン</t>
    </rPh>
    <phoneticPr fontId="4"/>
  </si>
  <si>
    <t>月</t>
    <rPh sb="0" eb="1">
      <t>ゲツ</t>
    </rPh>
    <phoneticPr fontId="5"/>
  </si>
  <si>
    <t>火</t>
    <rPh sb="0" eb="1">
      <t>ヒ</t>
    </rPh>
    <phoneticPr fontId="5"/>
  </si>
  <si>
    <t>水</t>
    <rPh sb="0" eb="1">
      <t>ミズ</t>
    </rPh>
    <phoneticPr fontId="5"/>
  </si>
  <si>
    <t>木</t>
    <rPh sb="0" eb="1">
      <t>モク</t>
    </rPh>
    <phoneticPr fontId="5"/>
  </si>
  <si>
    <t>F2</t>
    <phoneticPr fontId="5"/>
  </si>
  <si>
    <t>F1</t>
    <phoneticPr fontId="5"/>
  </si>
  <si>
    <t>前</t>
    <rPh sb="0" eb="1">
      <t>マエ</t>
    </rPh>
    <phoneticPr fontId="4"/>
  </si>
  <si>
    <t>a</t>
    <phoneticPr fontId="4"/>
  </si>
  <si>
    <t>b</t>
    <phoneticPr fontId="4"/>
  </si>
  <si>
    <t>c</t>
    <phoneticPr fontId="4"/>
  </si>
  <si>
    <t>d</t>
    <phoneticPr fontId="4"/>
  </si>
  <si>
    <t>e</t>
    <phoneticPr fontId="4"/>
  </si>
  <si>
    <t>f</t>
    <phoneticPr fontId="4"/>
  </si>
  <si>
    <t>g</t>
    <phoneticPr fontId="4"/>
  </si>
  <si>
    <t>h</t>
    <phoneticPr fontId="4"/>
  </si>
  <si>
    <t>水</t>
    <rPh sb="0" eb="1">
      <t>スイ</t>
    </rPh>
    <phoneticPr fontId="5"/>
  </si>
  <si>
    <t>前</t>
    <rPh sb="0" eb="1">
      <t>ゼン</t>
    </rPh>
    <phoneticPr fontId="5"/>
  </si>
  <si>
    <t>木</t>
    <rPh sb="0" eb="1">
      <t>モク</t>
    </rPh>
    <phoneticPr fontId="6"/>
  </si>
  <si>
    <t>C</t>
    <phoneticPr fontId="6"/>
  </si>
  <si>
    <t>D</t>
    <phoneticPr fontId="6"/>
  </si>
  <si>
    <t>E</t>
    <phoneticPr fontId="6"/>
  </si>
  <si>
    <t>F</t>
    <phoneticPr fontId="6"/>
  </si>
  <si>
    <t>G</t>
    <phoneticPr fontId="6"/>
  </si>
  <si>
    <t>H1</t>
    <phoneticPr fontId="6"/>
  </si>
  <si>
    <t>H2</t>
    <phoneticPr fontId="6"/>
  </si>
  <si>
    <t>H3</t>
    <phoneticPr fontId="6"/>
  </si>
  <si>
    <t>A</t>
    <phoneticPr fontId="4"/>
  </si>
  <si>
    <t>水</t>
    <rPh sb="0" eb="1">
      <t>スイ</t>
    </rPh>
    <phoneticPr fontId="4"/>
  </si>
  <si>
    <t>B</t>
    <phoneticPr fontId="4"/>
  </si>
  <si>
    <t>C</t>
    <phoneticPr fontId="4"/>
  </si>
  <si>
    <t>D</t>
    <phoneticPr fontId="4"/>
  </si>
  <si>
    <t>E</t>
    <phoneticPr fontId="4"/>
  </si>
  <si>
    <t>F</t>
    <phoneticPr fontId="4"/>
  </si>
  <si>
    <t>G</t>
    <phoneticPr fontId="4"/>
  </si>
  <si>
    <t>H1</t>
    <phoneticPr fontId="4"/>
  </si>
  <si>
    <t>H2</t>
    <phoneticPr fontId="4"/>
  </si>
  <si>
    <t>H3</t>
    <phoneticPr fontId="4"/>
  </si>
  <si>
    <t>1～2</t>
    <phoneticPr fontId="4"/>
  </si>
  <si>
    <t>後</t>
    <phoneticPr fontId="6"/>
  </si>
  <si>
    <t>木</t>
    <rPh sb="0" eb="1">
      <t>キ</t>
    </rPh>
    <phoneticPr fontId="5"/>
  </si>
  <si>
    <t>○</t>
    <phoneticPr fontId="4"/>
  </si>
  <si>
    <t>前</t>
    <phoneticPr fontId="6"/>
  </si>
  <si>
    <t>×</t>
    <phoneticPr fontId="4"/>
  </si>
  <si>
    <t>後</t>
    <rPh sb="0" eb="1">
      <t>コウ</t>
    </rPh>
    <phoneticPr fontId="5"/>
  </si>
  <si>
    <t>後</t>
    <rPh sb="0" eb="1">
      <t>アト</t>
    </rPh>
    <phoneticPr fontId="4"/>
  </si>
  <si>
    <t>木</t>
    <rPh sb="0" eb="1">
      <t>モク</t>
    </rPh>
    <phoneticPr fontId="4"/>
  </si>
  <si>
    <t>未定</t>
    <rPh sb="0" eb="2">
      <t>ミテイ</t>
    </rPh>
    <phoneticPr fontId="6"/>
  </si>
  <si>
    <t>1～2</t>
    <phoneticPr fontId="5"/>
  </si>
  <si>
    <t>火</t>
    <rPh sb="0" eb="1">
      <t>カ</t>
    </rPh>
    <phoneticPr fontId="4"/>
  </si>
  <si>
    <t>前</t>
    <rPh sb="0" eb="1">
      <t>ゼン</t>
    </rPh>
    <phoneticPr fontId="4"/>
  </si>
  <si>
    <t>月</t>
    <rPh sb="0" eb="1">
      <t>ゲツ</t>
    </rPh>
    <phoneticPr fontId="4"/>
  </si>
  <si>
    <t>後</t>
    <rPh sb="0" eb="1">
      <t>アト</t>
    </rPh>
    <phoneticPr fontId="5"/>
  </si>
  <si>
    <t>火</t>
    <rPh sb="0" eb="1">
      <t>カ</t>
    </rPh>
    <phoneticPr fontId="5"/>
  </si>
  <si>
    <t>集中</t>
    <rPh sb="0" eb="2">
      <t>シュウチュウ</t>
    </rPh>
    <phoneticPr fontId="5"/>
  </si>
  <si>
    <t>火</t>
    <rPh sb="0" eb="1">
      <t>ヒ</t>
    </rPh>
    <phoneticPr fontId="4"/>
  </si>
  <si>
    <t>未定</t>
    <rPh sb="0" eb="2">
      <t>ミテイ</t>
    </rPh>
    <phoneticPr fontId="4"/>
  </si>
  <si>
    <t>集中</t>
    <rPh sb="0" eb="2">
      <t>シュウチュウ</t>
    </rPh>
    <phoneticPr fontId="4"/>
  </si>
  <si>
    <t>後</t>
    <rPh sb="0" eb="1">
      <t>アト</t>
    </rPh>
    <phoneticPr fontId="6"/>
  </si>
  <si>
    <t>火</t>
    <rPh sb="0" eb="1">
      <t>ヒ</t>
    </rPh>
    <phoneticPr fontId="6"/>
  </si>
  <si>
    <t>前</t>
    <rPh sb="0" eb="1">
      <t>マエ</t>
    </rPh>
    <phoneticPr fontId="6"/>
  </si>
  <si>
    <t>水</t>
    <rPh sb="0" eb="1">
      <t>スイ</t>
    </rPh>
    <phoneticPr fontId="6"/>
  </si>
  <si>
    <t>月</t>
    <rPh sb="0" eb="1">
      <t>ゲツ</t>
    </rPh>
    <phoneticPr fontId="6"/>
  </si>
  <si>
    <t>前</t>
    <phoneticPr fontId="5"/>
  </si>
  <si>
    <t>月</t>
    <rPh sb="0" eb="1">
      <t>ツキ</t>
    </rPh>
    <phoneticPr fontId="5"/>
  </si>
  <si>
    <t>金</t>
    <rPh sb="0" eb="1">
      <t>キン</t>
    </rPh>
    <phoneticPr fontId="6"/>
  </si>
  <si>
    <t>後</t>
    <rPh sb="0" eb="1">
      <t>ウシロ</t>
    </rPh>
    <phoneticPr fontId="5"/>
  </si>
  <si>
    <t>後</t>
    <phoneticPr fontId="4"/>
  </si>
  <si>
    <t>金</t>
    <rPh sb="0" eb="1">
      <t>キム</t>
    </rPh>
    <phoneticPr fontId="4"/>
  </si>
  <si>
    <t>後</t>
    <rPh sb="0" eb="1">
      <t>ノチ</t>
    </rPh>
    <phoneticPr fontId="4"/>
  </si>
  <si>
    <t>2～3</t>
    <phoneticPr fontId="4"/>
  </si>
  <si>
    <t>前</t>
    <rPh sb="0" eb="1">
      <t>ゼンキ</t>
    </rPh>
    <phoneticPr fontId="4"/>
  </si>
  <si>
    <t>後</t>
    <rPh sb="0" eb="1">
      <t>ゴ</t>
    </rPh>
    <phoneticPr fontId="5"/>
  </si>
  <si>
    <t>後</t>
    <rPh sb="0" eb="1">
      <t>ゴ</t>
    </rPh>
    <phoneticPr fontId="6"/>
  </si>
  <si>
    <t>集中</t>
    <rPh sb="0" eb="2">
      <t>シュウチュウ</t>
    </rPh>
    <phoneticPr fontId="6"/>
  </si>
  <si>
    <t>前</t>
    <rPh sb="0" eb="1">
      <t>ゼン</t>
    </rPh>
    <phoneticPr fontId="6"/>
  </si>
  <si>
    <t>×</t>
    <phoneticPr fontId="6"/>
  </si>
  <si>
    <t>通年</t>
    <rPh sb="0" eb="2">
      <t>ツウネン</t>
    </rPh>
    <phoneticPr fontId="5"/>
  </si>
  <si>
    <t>1-2</t>
    <phoneticPr fontId="4"/>
  </si>
  <si>
    <t>実習</t>
    <rPh sb="0" eb="2">
      <t>ジッシュウ</t>
    </rPh>
    <phoneticPr fontId="5"/>
  </si>
  <si>
    <t>後</t>
    <rPh sb="0" eb="1">
      <t>ノチ</t>
    </rPh>
    <phoneticPr fontId="5"/>
  </si>
  <si>
    <t>不定期</t>
    <rPh sb="0" eb="3">
      <t>フテイキ</t>
    </rPh>
    <phoneticPr fontId="5"/>
  </si>
  <si>
    <t>4-5</t>
    <phoneticPr fontId="5"/>
  </si>
  <si>
    <t>2～4</t>
    <phoneticPr fontId="4"/>
  </si>
  <si>
    <t>後</t>
    <rPh sb="0" eb="1">
      <t>ウシ</t>
    </rPh>
    <phoneticPr fontId="6"/>
  </si>
  <si>
    <t>1～4</t>
    <phoneticPr fontId="4"/>
  </si>
  <si>
    <t>後</t>
    <rPh sb="0" eb="1">
      <t>ウシ</t>
    </rPh>
    <phoneticPr fontId="4"/>
  </si>
  <si>
    <t>不定期</t>
    <rPh sb="0" eb="1">
      <t>フテイ</t>
    </rPh>
    <phoneticPr fontId="4"/>
  </si>
  <si>
    <t>Ａ</t>
    <phoneticPr fontId="4"/>
  </si>
  <si>
    <t>Ｂ</t>
    <phoneticPr fontId="4"/>
  </si>
  <si>
    <t>Ｃ</t>
    <phoneticPr fontId="4"/>
  </si>
  <si>
    <t>後</t>
    <rPh sb="0" eb="1">
      <t>ウシロ</t>
    </rPh>
    <phoneticPr fontId="4"/>
  </si>
  <si>
    <t>木</t>
    <rPh sb="0" eb="1">
      <t xml:space="preserve">モク </t>
    </rPh>
    <phoneticPr fontId="4"/>
  </si>
  <si>
    <t>火</t>
    <rPh sb="0" eb="1">
      <t xml:space="preserve">カ </t>
    </rPh>
    <phoneticPr fontId="5"/>
  </si>
  <si>
    <t>集中</t>
    <rPh sb="0" eb="1">
      <t xml:space="preserve">シュウチュウウ </t>
    </rPh>
    <phoneticPr fontId="4"/>
  </si>
  <si>
    <t>水</t>
    <rPh sb="0" eb="1">
      <t xml:space="preserve">スイ </t>
    </rPh>
    <phoneticPr fontId="4"/>
  </si>
  <si>
    <t>木</t>
    <rPh sb="0" eb="1">
      <t xml:space="preserve">モク </t>
    </rPh>
    <phoneticPr fontId="6"/>
  </si>
  <si>
    <t>水</t>
    <rPh sb="0" eb="1">
      <t xml:space="preserve">スイ </t>
    </rPh>
    <phoneticPr fontId="5"/>
  </si>
  <si>
    <t>3～4</t>
    <phoneticPr fontId="4"/>
  </si>
  <si>
    <t>水</t>
    <rPh sb="0" eb="1">
      <t xml:space="preserve">スイ </t>
    </rPh>
    <phoneticPr fontId="6"/>
  </si>
  <si>
    <t>後</t>
    <rPh sb="0" eb="1">
      <t>ゴ</t>
    </rPh>
    <phoneticPr fontId="4"/>
  </si>
  <si>
    <t>○</t>
    <phoneticPr fontId="6"/>
  </si>
  <si>
    <t>集中</t>
    <rPh sb="0" eb="1">
      <t xml:space="preserve">シュウチュウ </t>
    </rPh>
    <phoneticPr fontId="5"/>
  </si>
  <si>
    <t>月</t>
    <rPh sb="0" eb="1">
      <t xml:space="preserve">ゲツ </t>
    </rPh>
    <phoneticPr fontId="5"/>
  </si>
  <si>
    <t>後</t>
    <rPh sb="0" eb="1">
      <t>コウキ</t>
    </rPh>
    <phoneticPr fontId="5"/>
  </si>
  <si>
    <t>English Teaching Methodologies</t>
    <phoneticPr fontId="4"/>
  </si>
  <si>
    <t>English Presentation</t>
    <phoneticPr fontId="4"/>
  </si>
  <si>
    <t>English Through Media</t>
    <phoneticPr fontId="4"/>
  </si>
  <si>
    <t>後</t>
    <rPh sb="0" eb="1">
      <t>コウ</t>
    </rPh>
    <phoneticPr fontId="4"/>
  </si>
  <si>
    <t>通年</t>
    <rPh sb="0" eb="2">
      <t xml:space="preserve">ツウネン </t>
    </rPh>
    <phoneticPr fontId="6"/>
  </si>
  <si>
    <t>前</t>
    <rPh sb="0" eb="1">
      <t>ゼン</t>
    </rPh>
    <phoneticPr fontId="2"/>
  </si>
  <si>
    <t>水</t>
    <rPh sb="0" eb="1">
      <t>スイ</t>
    </rPh>
    <phoneticPr fontId="2"/>
  </si>
  <si>
    <t>水</t>
    <rPh sb="0" eb="1">
      <t>シュウスイ</t>
    </rPh>
    <phoneticPr fontId="4"/>
  </si>
  <si>
    <t>3～4</t>
    <phoneticPr fontId="5"/>
  </si>
  <si>
    <t>2～3</t>
    <phoneticPr fontId="6"/>
  </si>
  <si>
    <t>2～3</t>
    <phoneticPr fontId="5"/>
  </si>
  <si>
    <t>火</t>
    <rPh sb="0" eb="1">
      <t>カ</t>
    </rPh>
    <phoneticPr fontId="6"/>
  </si>
  <si>
    <t>3-4A</t>
    <phoneticPr fontId="5"/>
  </si>
  <si>
    <t>4B-5</t>
    <phoneticPr fontId="5"/>
  </si>
  <si>
    <t xml:space="preserve">火 </t>
    <rPh sb="0" eb="1">
      <t>カ</t>
    </rPh>
    <phoneticPr fontId="4"/>
  </si>
  <si>
    <t>後</t>
    <phoneticPr fontId="5"/>
  </si>
  <si>
    <t>水</t>
    <phoneticPr fontId="5"/>
  </si>
  <si>
    <t>月</t>
    <phoneticPr fontId="5"/>
  </si>
  <si>
    <t>4-5A</t>
    <phoneticPr fontId="5"/>
  </si>
  <si>
    <t>3～4</t>
    <phoneticPr fontId="6"/>
  </si>
  <si>
    <t>不定期</t>
    <rPh sb="0" eb="3">
      <t>フテイキ</t>
    </rPh>
    <phoneticPr fontId="4"/>
  </si>
  <si>
    <t>2～4</t>
    <phoneticPr fontId="6"/>
  </si>
  <si>
    <t>実践と省察</t>
  </si>
  <si>
    <t>介護等体験実習</t>
  </si>
  <si>
    <t>教育実習I</t>
  </si>
  <si>
    <t>学校教育の実践と省察</t>
  </si>
  <si>
    <t>教養科目 was NG</t>
  </si>
  <si>
    <t>Tsu</t>
  </si>
  <si>
    <t>通年</t>
  </si>
  <si>
    <t>教育実習（中） was OKAY</t>
  </si>
  <si>
    <t>実践教育科目 was OKAY</t>
  </si>
  <si>
    <t>英語専攻 was NG</t>
  </si>
  <si>
    <t>小学校免許 was NG</t>
  </si>
  <si>
    <t>All</t>
  </si>
  <si>
    <t>Calendar</t>
  </si>
  <si>
    <t>教養科目 test started with column N</t>
  </si>
  <si>
    <t>教育実習（中） test started with column P</t>
  </si>
  <si>
    <t>実践教育科目 test started with column Q</t>
  </si>
  <si>
    <t>教育実践フィールド科目 test started with column R</t>
  </si>
  <si>
    <t>英語専攻 test started with column O</t>
  </si>
  <si>
    <t>小学校免許 test started with column S</t>
  </si>
  <si>
    <t>教育実践フィールド科目 was OKAY</t>
  </si>
  <si>
    <t>Sport and Wellness I</t>
  </si>
  <si>
    <t>Sport and Wellness II</t>
  </si>
  <si>
    <t>Computer Literacy</t>
  </si>
  <si>
    <t>Civics</t>
  </si>
  <si>
    <t>English I</t>
  </si>
  <si>
    <t>English II</t>
  </si>
  <si>
    <t>English III</t>
  </si>
  <si>
    <t>English IV</t>
  </si>
  <si>
    <t>George Washington</t>
  </si>
  <si>
    <t>Marie Curie</t>
  </si>
  <si>
    <t>Charles Dickens</t>
  </si>
  <si>
    <t>Albert Einstein</t>
  </si>
  <si>
    <t>Jane Austen</t>
  </si>
  <si>
    <t>Emily Dickinson</t>
  </si>
  <si>
    <t>Thomas Edison</t>
  </si>
  <si>
    <t>Alexander Graham Bell</t>
  </si>
  <si>
    <t>Mark Twain</t>
  </si>
  <si>
    <t>Isaac Newton</t>
  </si>
  <si>
    <t>Ernest Hemingway</t>
  </si>
  <si>
    <t>Amelia Earhart</t>
  </si>
  <si>
    <t>Robert Frost</t>
  </si>
  <si>
    <t>Roald Amundsen</t>
  </si>
  <si>
    <t>Ludwig van Beethoven</t>
  </si>
  <si>
    <t>William Shakespeare</t>
  </si>
  <si>
    <t>Charles Darwin</t>
  </si>
  <si>
    <t>Edgar Allan Poe</t>
  </si>
  <si>
    <t>Leonardo da Vinci</t>
  </si>
  <si>
    <t>Lewis Carroll</t>
  </si>
  <si>
    <t>Henry Ford</t>
  </si>
  <si>
    <t>Emily Brontë</t>
  </si>
  <si>
    <t>Marie Antoinette</t>
  </si>
  <si>
    <t>Sir Isaac Newton</t>
  </si>
  <si>
    <t>Florence Nightingale</t>
  </si>
  <si>
    <t>Marco Polo</t>
  </si>
  <si>
    <t>Sir Walter Raleigh</t>
  </si>
  <si>
    <t>Wolfgang Amadeus Mozart</t>
  </si>
  <si>
    <t>Sir Francis Drake</t>
  </si>
  <si>
    <t>Benjamin Franklin</t>
  </si>
  <si>
    <t>Sir Ernest Shackleton</t>
  </si>
  <si>
    <t>Pablo Picasso</t>
  </si>
  <si>
    <t>Christopher Columbus</t>
  </si>
  <si>
    <t>William Wordsworth</t>
  </si>
  <si>
    <t>Marie Louise</t>
  </si>
  <si>
    <t>Vincent van Gogh</t>
  </si>
  <si>
    <t>Johann Wolfgang von Goethe</t>
  </si>
  <si>
    <t>Antoine de Saint-Exupéry</t>
  </si>
  <si>
    <t>Pablo Neruda</t>
  </si>
  <si>
    <t>Alexander the Great</t>
  </si>
  <si>
    <t>Martin Luther King Sr.</t>
  </si>
  <si>
    <t>Robert E. Lee</t>
  </si>
  <si>
    <t>Johann Sebastian Bach</t>
  </si>
  <si>
    <t>Guglielmo Marconi</t>
  </si>
  <si>
    <t>John Locke</t>
  </si>
  <si>
    <t>John Milton</t>
  </si>
  <si>
    <t>Leo Tolstoy</t>
  </si>
  <si>
    <t>Henry David Thoreau</t>
  </si>
  <si>
    <t>Henry Tudor</t>
  </si>
  <si>
    <t>English Communication II</t>
  </si>
  <si>
    <t>English Communication I</t>
  </si>
  <si>
    <t>Ethics and Human Rights</t>
  </si>
  <si>
    <t>Academic Skills</t>
  </si>
  <si>
    <t>French I</t>
  </si>
  <si>
    <t>French II</t>
  </si>
  <si>
    <t>Spanish I</t>
  </si>
  <si>
    <t>Spanish II</t>
  </si>
  <si>
    <t>German I</t>
  </si>
  <si>
    <t>German II</t>
  </si>
  <si>
    <t>Intro to Anthropology</t>
  </si>
  <si>
    <t>Chinese I</t>
  </si>
  <si>
    <t>Chinese II</t>
  </si>
  <si>
    <t>Korean I</t>
  </si>
  <si>
    <t>Korean II</t>
  </si>
  <si>
    <t>Gen Ed Humanities</t>
  </si>
  <si>
    <t>Physics</t>
  </si>
  <si>
    <t>Literature A</t>
  </si>
  <si>
    <t>Literature B</t>
  </si>
  <si>
    <t>Gen Ed Social Sciences</t>
  </si>
  <si>
    <t>Geography</t>
  </si>
  <si>
    <t>Government</t>
  </si>
  <si>
    <t>World Politics</t>
  </si>
  <si>
    <t>Psychology</t>
  </si>
  <si>
    <t>Music and Physics</t>
  </si>
  <si>
    <t>Literature C</t>
  </si>
  <si>
    <t>Life and Poverty</t>
  </si>
  <si>
    <t>Flight</t>
  </si>
  <si>
    <t>Logic</t>
  </si>
  <si>
    <t>Farming I</t>
  </si>
  <si>
    <t>Farming II</t>
  </si>
  <si>
    <t>Gen Ed Sciences</t>
  </si>
  <si>
    <t>Independent Study</t>
  </si>
  <si>
    <t>Gen Eds</t>
  </si>
  <si>
    <t>旭川校</t>
  </si>
  <si>
    <t>Contemporary Literature Survery</t>
  </si>
  <si>
    <t>Art Survey</t>
  </si>
  <si>
    <t>Music Survey</t>
  </si>
  <si>
    <t>Drama</t>
  </si>
  <si>
    <t>Soul Studies</t>
  </si>
  <si>
    <t>Finance</t>
  </si>
  <si>
    <t>Life: An Introduction</t>
  </si>
  <si>
    <t>General Humanities</t>
  </si>
  <si>
    <t>Anthropology I</t>
  </si>
  <si>
    <t>International Understanding</t>
  </si>
  <si>
    <t>Elementary Ed: Music</t>
  </si>
  <si>
    <t>Elementary Ed: Home</t>
  </si>
  <si>
    <t>Elementary Ed: Science</t>
  </si>
  <si>
    <t>Elementary Ed: Math</t>
  </si>
  <si>
    <t>Elementary Ed: Social Sciences</t>
  </si>
  <si>
    <t>Elementary Ed: Language Skills</t>
  </si>
  <si>
    <t>Special Research</t>
  </si>
  <si>
    <t>Graduation Research</t>
  </si>
  <si>
    <t>Elementary Ed: Arts and Crafts</t>
  </si>
  <si>
    <t>School Bullying</t>
  </si>
  <si>
    <t>Anthropology II</t>
  </si>
  <si>
    <t>Elementary Ed: Household</t>
  </si>
  <si>
    <t>Elementary Ed: Sports</t>
  </si>
  <si>
    <t>Elementary Ed: English</t>
  </si>
  <si>
    <t>Elementary Ed Teaching Methods: Language Skills</t>
  </si>
  <si>
    <t>Elementary Ed Teaching: Social Sciences</t>
  </si>
  <si>
    <t>Elementary Ed Teaching: Math</t>
  </si>
  <si>
    <t>実践教育科目 was NG</t>
  </si>
  <si>
    <t>Elementary Ed Teaching: Science</t>
  </si>
  <si>
    <t>Elementary Ed Teaching: Home</t>
  </si>
  <si>
    <t>Elementary Ed Teaching: Music</t>
  </si>
  <si>
    <t>Elementary Ed Teaching: Arts and Crafts</t>
  </si>
  <si>
    <t>Elementary Ed Teaching: House</t>
  </si>
  <si>
    <t>Elementary Ed Teaching: Sports</t>
  </si>
  <si>
    <t>Elementary Ed Teaching: English</t>
  </si>
  <si>
    <t>Pedagogy</t>
  </si>
  <si>
    <t>Intermediate Japanese Language Teaching Methods I</t>
  </si>
  <si>
    <t>Intermediate Japanese Language Teaching Methods II</t>
  </si>
  <si>
    <t>Intermediate Japanese Language Teaching Methods III</t>
  </si>
  <si>
    <t>Intermediate Japanese Language Teaching Methods IV</t>
  </si>
  <si>
    <t>Intermediate Calligraphy Teaching Methods I</t>
  </si>
  <si>
    <t>Intermediate Calligraphy Teaching Methods II</t>
  </si>
  <si>
    <t>Intermediate Social Studies Teaching Methods I</t>
  </si>
  <si>
    <t>Intermediate Social Studies Teaching Methods II</t>
  </si>
  <si>
    <t>Intermediate Social Studies Teaching Methods III</t>
  </si>
  <si>
    <t>Intermediate Social Studies Teaching Methods IV</t>
  </si>
  <si>
    <t>Intermediate Mathematics Teaching Methods I</t>
  </si>
  <si>
    <t>Intermediate Mathematics Teaching Methods II</t>
  </si>
  <si>
    <t>Intermediate Mathematics Teaching Methods III</t>
  </si>
  <si>
    <t>Intermediate Mathematics Teaching Methods IV</t>
  </si>
  <si>
    <t>Intermediate Science Teaching Methods I</t>
  </si>
  <si>
    <t>Intermediate Science Teaching Methods II</t>
  </si>
  <si>
    <t>Intermediate Science Teaching Methods III</t>
  </si>
  <si>
    <t>Intermediate Science Teaching Methods IV</t>
  </si>
  <si>
    <t>Intermediate Technical Teaching Methods I</t>
  </si>
  <si>
    <t>Intermediate Technical Teaching Methods II</t>
  </si>
  <si>
    <t>Intermediate Technical Teaching Methods III</t>
  </si>
  <si>
    <t>Intermediate Technical Teaching Methods IV</t>
  </si>
  <si>
    <t>Intermediate Industrial Teaching Methods I</t>
  </si>
  <si>
    <t>Intermediate Industrial Teaching Methods II</t>
  </si>
  <si>
    <t>Intermediate Home Economics Teaching Methods I</t>
  </si>
  <si>
    <t>Intermediate Home Economics Teaching Methods II</t>
  </si>
  <si>
    <t>Intermediate Home Economics Teaching Methods III</t>
  </si>
  <si>
    <t>Intermediate Home Economics Teaching Methods IV</t>
  </si>
  <si>
    <t>Intermediate Music Teaching Methods I</t>
  </si>
  <si>
    <t>Intermediate Music Teaching Methods II</t>
  </si>
  <si>
    <t>Intermediate Music Teaching Methods III</t>
  </si>
  <si>
    <t>Intermediate Music Teaching Methods IV</t>
  </si>
  <si>
    <t>Intermediate Art Teaching Methods I</t>
  </si>
  <si>
    <t>Intermediate Art Teaching Methods II</t>
  </si>
  <si>
    <t>Intermediate Art Teaching Methods III</t>
  </si>
  <si>
    <t>Intermediate Art Teaching Methods IV</t>
  </si>
  <si>
    <t>Intermediate Health and Physical Education Teaching Methods I</t>
  </si>
  <si>
    <t>Intermediate Health and Physical Education Teaching Methods II</t>
  </si>
  <si>
    <t>Intermediate Health and Physical Education Teaching Methods III</t>
  </si>
  <si>
    <t>Intermediate Health and Physical Education Teaching Methods IV</t>
  </si>
  <si>
    <t>Fundamentals and Philosophy of Education</t>
  </si>
  <si>
    <t>Development and Learning</t>
  </si>
  <si>
    <t>Special Education</t>
  </si>
  <si>
    <t>Educational Systems, Management, and Society</t>
  </si>
  <si>
    <t>Curriculum and Teaching Methods</t>
  </si>
  <si>
    <t>Curriculum and Teaching Methods (Including ICT Utilization)</t>
  </si>
  <si>
    <t>Theory and Methods of Student Guidance and Career Counseling</t>
  </si>
  <si>
    <t>Theory and Methods of Educational Counseling</t>
  </si>
  <si>
    <t>Ethics Theory and Instructional Methods</t>
  </si>
  <si>
    <t>Theory and Instructional Methods for Special Activities and Integrated Learning Time</t>
  </si>
  <si>
    <t>Information Education Practices</t>
  </si>
  <si>
    <t>Next-Generation Learning Design Theory</t>
  </si>
  <si>
    <t>School Education Practice and Reflection I</t>
  </si>
  <si>
    <t>School Education Practice and Reflection II</t>
  </si>
  <si>
    <t>Pre and Post-Instruction for Educational Practicum</t>
  </si>
  <si>
    <t>Educational Practicum (Elementary) I</t>
  </si>
  <si>
    <t>Educational Practicum (Secondary) I</t>
  </si>
  <si>
    <t>School Clinical Research</t>
  </si>
  <si>
    <t>Professional Practice Exercises (Preschool, Elementary, Middle, High)</t>
  </si>
  <si>
    <t>Educational Practicum (Elementary) II</t>
  </si>
  <si>
    <t>Educational Practicum (Secondary) II</t>
  </si>
  <si>
    <t>Educational Practicum (Elementary) III</t>
  </si>
  <si>
    <t>Special Education Practicum</t>
  </si>
  <si>
    <t>Professional Practice Research</t>
  </si>
  <si>
    <t>Care and Experiential Internship</t>
  </si>
  <si>
    <t>Rural School Experience Internship I</t>
  </si>
  <si>
    <t>Rural School Experience Internship II</t>
  </si>
  <si>
    <t>Special Lecture on Teaching Methods</t>
  </si>
  <si>
    <t>Special Lecture on Sociology of Education</t>
  </si>
  <si>
    <t>Student Guidance Theory Special Lecture</t>
  </si>
  <si>
    <t>Philosophy of Education Special Lecture</t>
  </si>
  <si>
    <t>History of Education Special Lecture</t>
  </si>
  <si>
    <t>Science Education</t>
  </si>
  <si>
    <t>Math Education</t>
  </si>
  <si>
    <t>Social Science Education</t>
  </si>
  <si>
    <t>English Education</t>
  </si>
  <si>
    <t>Language Education</t>
  </si>
  <si>
    <t>Preschool Education</t>
  </si>
  <si>
    <t>Educational Psychology</t>
  </si>
  <si>
    <t>Education Theory</t>
  </si>
  <si>
    <t>Special Lecture on Education Systems and School Management</t>
  </si>
  <si>
    <t>Philosophy of Education Seminar I</t>
  </si>
  <si>
    <t>Philosophy of Education Seminar II</t>
  </si>
  <si>
    <t>Philosophy of Education Seminar III</t>
  </si>
  <si>
    <t>Philosophy of Education Seminar IV</t>
  </si>
  <si>
    <t>History of Education Seminar I</t>
  </si>
  <si>
    <t>History of Education Seminar II</t>
  </si>
  <si>
    <t>History of Education Seminar III</t>
  </si>
  <si>
    <t>History of Education Seminar IV</t>
  </si>
  <si>
    <t>Teaching Methods Seminar I</t>
  </si>
  <si>
    <t>Teaching Methods Seminar II</t>
  </si>
  <si>
    <t>Teaching Methods Seminar III</t>
  </si>
  <si>
    <t>Teaching Methods Seminar IV</t>
  </si>
  <si>
    <t>Sociology of Education Seminar I</t>
  </si>
  <si>
    <t>Sociology of Education Seminar II</t>
  </si>
  <si>
    <t>Sociology of Education Seminar III</t>
  </si>
  <si>
    <t>Sociology of Education Seminar IV</t>
  </si>
  <si>
    <t>Student Guidance Theory Seminar I</t>
  </si>
  <si>
    <t>Student Guidance Theory Seminar II</t>
  </si>
  <si>
    <t>Student Guidance Theory Seminar III</t>
  </si>
  <si>
    <t>Student Guidance Theory Seminar IV</t>
  </si>
  <si>
    <t>Education Systems and School Management Seminar I</t>
  </si>
  <si>
    <t>Education Systems and School Management Seminar II</t>
  </si>
  <si>
    <t>Education Systems and School Management Seminar III</t>
  </si>
  <si>
    <t>Education Systems and School Management Seminar IV</t>
  </si>
  <si>
    <t>Basic Educational Psychology Experiment I</t>
  </si>
  <si>
    <t>Basic Educational Psychology Experiment II</t>
  </si>
  <si>
    <t>Research Methods in Psychology I</t>
  </si>
  <si>
    <t>Research Methods in Psychology II</t>
  </si>
  <si>
    <t>Clinical Psychology Special Lecture I</t>
  </si>
  <si>
    <t>Clinical Psychology Special Lecture II</t>
  </si>
  <si>
    <t>Learning Psychology Special Lecture I</t>
  </si>
  <si>
    <t>Learning Psychology Special Lecture II</t>
  </si>
  <si>
    <t>Educational Psychology Special Lecture I</t>
  </si>
  <si>
    <t>Educational Psychology Special Lecture II</t>
  </si>
  <si>
    <t>Infant Relationships</t>
  </si>
  <si>
    <t>Infant Language</t>
  </si>
  <si>
    <t>Infants and Relationships</t>
  </si>
  <si>
    <t>Infants and Language</t>
  </si>
  <si>
    <t>Clinical Psychology Seminar I</t>
  </si>
  <si>
    <t>Clinical Psychology Seminar II</t>
  </si>
  <si>
    <t>Learning Psychology Seminar I</t>
  </si>
  <si>
    <t>Learning Psychology Seminar II</t>
  </si>
  <si>
    <t>Educational Psychology Seminar I</t>
  </si>
  <si>
    <t>Educational Psychology Seminar II</t>
  </si>
  <si>
    <t>Developmental Psychology Seminar I</t>
  </si>
  <si>
    <t>Developmental Psychology Seminar II</t>
  </si>
  <si>
    <t>Infants and Health</t>
  </si>
  <si>
    <t>Infants and Expression</t>
  </si>
  <si>
    <t>Infants and Environment</t>
  </si>
  <si>
    <t>Content and Instruction in Childcare (Health)</t>
  </si>
  <si>
    <t>Content and Instruction in Childcare (Expression I)</t>
  </si>
  <si>
    <t>Content and Instruction in Childcare (Expression II)</t>
  </si>
  <si>
    <t>Content and Instruction in Childcare (Relationships)</t>
  </si>
  <si>
    <t>Content and Instruction in Childcare (Language)</t>
  </si>
  <si>
    <t>Content and Instruction in Childcare (Environment)</t>
  </si>
  <si>
    <t>Overview of Childcare Content</t>
  </si>
  <si>
    <t>Curriculum and Teaching Methods for Infants</t>
  </si>
  <si>
    <t>Special Lecture on Early Childhood Education I</t>
  </si>
  <si>
    <t>Special Lecture on Early Childhood Education II</t>
  </si>
  <si>
    <t>Understanding Infants and Educational Counseling</t>
  </si>
  <si>
    <t>Early Childhood Education Seminar</t>
  </si>
  <si>
    <t>Child Study Seminar</t>
  </si>
  <si>
    <t>Introduction to Special Education</t>
  </si>
  <si>
    <t>Basic Exercises in Intellectual and Developmental Disabilities</t>
  </si>
  <si>
    <t>Assessment of Intellectual and Developmental Disabilities</t>
  </si>
  <si>
    <t>Mental Health in Children with Intellectual and Developmental Disabilities</t>
  </si>
  <si>
    <t>Intellectual Disability Education Curriculum</t>
  </si>
  <si>
    <t>Teaching Methods for Intellectual and Developmental Disabilities</t>
  </si>
  <si>
    <t>Research Methods in Intellectual and Developmental Disabilities</t>
  </si>
  <si>
    <t>Practical Research in Intellectual and Developmental Disabilities</t>
  </si>
  <si>
    <t>Developmental Exercises for Intellectual and Developmental Disabilities</t>
  </si>
  <si>
    <t>Child Psychiatry</t>
  </si>
  <si>
    <t>Psychological, Physiological, and Pathological Aspects of Developmental Disorders</t>
  </si>
  <si>
    <t>Support for Developmental Disorders</t>
  </si>
  <si>
    <t>Japanese Language Expression</t>
  </si>
  <si>
    <t>Introduction to Japanese Linguistics I</t>
  </si>
  <si>
    <t>Japanese Linguistics Reading I</t>
  </si>
  <si>
    <t>Japanese Linguistics Reading II</t>
  </si>
  <si>
    <t>Classical Literature Reading I</t>
  </si>
  <si>
    <t>Classical Literature Reading II</t>
  </si>
  <si>
    <t>Modern Literature Reading I</t>
  </si>
  <si>
    <t>Modern Literature Reading II</t>
  </si>
  <si>
    <t>Classical Chinese Literature Reading I</t>
  </si>
  <si>
    <t>Classical Chinese Literature Reading II</t>
  </si>
  <si>
    <t>Introduction to Japanese Literature I (Including Literary History)</t>
  </si>
  <si>
    <t>Introduction to Japanese Literature II</t>
  </si>
  <si>
    <t>Introduction to Classical Chinese Literature I</t>
  </si>
  <si>
    <t>Introduction to Classical Chinese Literature II</t>
  </si>
  <si>
    <t>Calligraphy I</t>
  </si>
  <si>
    <t>Calligraphy II</t>
  </si>
  <si>
    <t>Japanese Linguistics Research Methods</t>
  </si>
  <si>
    <t>Classical Literature Research Methods</t>
  </si>
  <si>
    <t>Modern Literature Research Methods</t>
  </si>
  <si>
    <t>Classical Chinese Literature Research Methods</t>
  </si>
  <si>
    <t>Reading in Japanese Language Education I</t>
  </si>
  <si>
    <t>Reading in Japanese Language Education II</t>
  </si>
  <si>
    <t>Japanese Linguistics Exercises I</t>
  </si>
  <si>
    <t>Japanese Linguistics Exercises II</t>
  </si>
  <si>
    <t>Classical Literature Exercises I</t>
  </si>
  <si>
    <t>Classical Literature Exercises II</t>
  </si>
  <si>
    <t>Modern Literature Exercises I</t>
  </si>
  <si>
    <t>Modern Literature Exercises II</t>
  </si>
  <si>
    <t>Classical Chinese Literature Exercises I</t>
  </si>
  <si>
    <t>Classical Chinese Literature Exercises II</t>
  </si>
  <si>
    <t>Reading in Japanese Language Education Exercises I</t>
  </si>
  <si>
    <t>Reading in Japanese Language Education Exercises II</t>
  </si>
  <si>
    <t>Special Lectures in Japanese Linguistics</t>
  </si>
  <si>
    <t>Special Lectures in Classical Literature</t>
  </si>
  <si>
    <t>Special Lectures in Modern Literature</t>
  </si>
  <si>
    <t>Special Lectures in Classical Chinese Literature</t>
  </si>
  <si>
    <t>Regular Script I</t>
  </si>
  <si>
    <t>Regular Script II</t>
  </si>
  <si>
    <t>Regular Script III</t>
  </si>
  <si>
    <t>Kana I</t>
  </si>
  <si>
    <t>Kana II</t>
  </si>
  <si>
    <t>Kana III</t>
  </si>
  <si>
    <t>Semi-cursive Script I</t>
  </si>
  <si>
    <t>Semi-cursive Script II</t>
  </si>
  <si>
    <t>Semi-cursive Script III</t>
  </si>
  <si>
    <t>Cursive Script I</t>
  </si>
  <si>
    <t>Cursive Script II</t>
  </si>
  <si>
    <t>Cursive Script III</t>
  </si>
  <si>
    <t>Seal Script I</t>
  </si>
  <si>
    <t>Seal Script II</t>
  </si>
  <si>
    <t>Seal Script III</t>
  </si>
  <si>
    <t>Clerical Script I</t>
  </si>
  <si>
    <t>Clerical Script II</t>
  </si>
  <si>
    <t>Clerical Script III</t>
  </si>
  <si>
    <t>Creative Writing I (Kanji)</t>
  </si>
  <si>
    <t>Creative Writing II (Mixed Kanji and Kana Text)</t>
  </si>
  <si>
    <t>History of Japanese Calligraphy</t>
  </si>
  <si>
    <t>History of Chinese Calligraphy</t>
  </si>
  <si>
    <t>Linguistics</t>
  </si>
  <si>
    <t>Calligraphy Theory</t>
  </si>
  <si>
    <t>Appreciation</t>
  </si>
  <si>
    <t>Introduction to English Linguistics I</t>
  </si>
  <si>
    <t>Introduction to English Linguistics II</t>
  </si>
  <si>
    <t>English Linguistics Exercises I</t>
  </si>
  <si>
    <t>Introduction to English Literature I</t>
  </si>
  <si>
    <t>Introduction to English Literature II</t>
  </si>
  <si>
    <t>English Literature Exercises I</t>
  </si>
  <si>
    <t>Academic Writing I</t>
  </si>
  <si>
    <t>Academic Writing II</t>
  </si>
  <si>
    <t>Intercultural Understanding I</t>
  </si>
  <si>
    <t>Intercultural Understanding II</t>
  </si>
  <si>
    <t>Introduction to English Education</t>
  </si>
  <si>
    <t>English Linguistics Exercises II</t>
  </si>
  <si>
    <t>English Linguistics Exercises III</t>
  </si>
  <si>
    <t>Special Lectures in English Linguistics I</t>
  </si>
  <si>
    <t>Special Lectures in English Linguistics II</t>
  </si>
  <si>
    <t>Special Lectures in English Linguistics III</t>
  </si>
  <si>
    <t>English Literature Exercises II</t>
  </si>
  <si>
    <t>English Literature Exercises III</t>
  </si>
  <si>
    <t>English Literature Exercises IV</t>
  </si>
  <si>
    <t>Special Lectures in English Literature I</t>
  </si>
  <si>
    <t>Special Lectures in English Literature II</t>
  </si>
  <si>
    <t>Special Lectures in English Literature III</t>
  </si>
  <si>
    <t>English Education Exercises I</t>
  </si>
  <si>
    <t>English Education Exercises II</t>
  </si>
  <si>
    <t>English Education Exercises III</t>
  </si>
  <si>
    <t>English Communication Studies Exercises I</t>
  </si>
  <si>
    <t>English Communication Studies Exercises II</t>
  </si>
  <si>
    <t>English Communication Studies Exercises III</t>
  </si>
  <si>
    <t>English Communication Studies Exercises IV</t>
  </si>
  <si>
    <t>Special Lectures in English Communication Studies I</t>
  </si>
  <si>
    <t>Special Lectures in English Communication Studies II</t>
  </si>
  <si>
    <t>Special Lectures in English Communication Studies III</t>
  </si>
  <si>
    <t>Special Lectures in English Communication Studies IV</t>
  </si>
  <si>
    <t>Special Research in English Linguistics</t>
  </si>
  <si>
    <t>Special Research in English Literature</t>
  </si>
  <si>
    <t>Special Research in English Education</t>
  </si>
  <si>
    <t>Special Research in English Communication Studies</t>
  </si>
  <si>
    <t>Overseas Language and Culture Study</t>
  </si>
  <si>
    <t>Introduction to Japanese History</t>
  </si>
  <si>
    <t>Introduction to Foreign History</t>
  </si>
  <si>
    <t>Introduction to Geography</t>
  </si>
  <si>
    <t>Human Geography</t>
  </si>
  <si>
    <t>Physical Geography</t>
  </si>
  <si>
    <t>Introduction to Law</t>
  </si>
  <si>
    <t>Introduction to Political Science</t>
  </si>
  <si>
    <t>Introduction to Economics</t>
  </si>
  <si>
    <t>Introduction to Sociology</t>
  </si>
  <si>
    <t>Social Survey Methodology</t>
  </si>
  <si>
    <t>Introduction to Ethics</t>
  </si>
  <si>
    <t>Social Science Curriculum Development Research I</t>
  </si>
  <si>
    <t>Social Science Curriculum Development Research II</t>
  </si>
  <si>
    <t>Special Lecture on Japanese History I</t>
  </si>
  <si>
    <t>Special Lecture on Japanese History / Special Lecture on Japanese History II</t>
  </si>
  <si>
    <t>Special Lecture on Foreign History I</t>
  </si>
  <si>
    <t>Special Lecture on Foreign History / Special Lecture on Foreign History II</t>
  </si>
  <si>
    <t>Special Lecture on Geography</t>
  </si>
  <si>
    <t>Special Lecture on Law</t>
  </si>
  <si>
    <t>Special Lecture on Political Science I</t>
  </si>
  <si>
    <t>Special Lecture on Political Science / Special Lecture on Political Science II</t>
  </si>
  <si>
    <t>Special Lecture on Sociology</t>
  </si>
  <si>
    <t>Special Lecture on Economics</t>
  </si>
  <si>
    <t>Special Lecture on Ethics I</t>
  </si>
  <si>
    <t>Special Lecture on Ethics / Special Lecture on Ethics II</t>
  </si>
  <si>
    <t>Social Survey Practicum I</t>
  </si>
  <si>
    <t>Social Survey Practicum II</t>
  </si>
  <si>
    <t>Social Science Education Seminar I</t>
  </si>
  <si>
    <t>Social Science Education Seminar II</t>
  </si>
  <si>
    <t>Social Science Education Seminar III</t>
  </si>
  <si>
    <t>Social Science Education Seminar IV</t>
  </si>
  <si>
    <t>Social Science Education Seminar V</t>
  </si>
  <si>
    <t>Social Science Education Seminar VI</t>
  </si>
  <si>
    <t>Social Science Education Seminar VII</t>
  </si>
  <si>
    <t>Social Science Education Seminar VIII</t>
  </si>
  <si>
    <t>Geography Practicum I</t>
  </si>
  <si>
    <t>Geography Practicum II</t>
  </si>
  <si>
    <t>Japanese History Seminar I</t>
  </si>
  <si>
    <t>Japanese History Seminar II</t>
  </si>
  <si>
    <t>Japanese History Seminar III</t>
  </si>
  <si>
    <t>Japanese History Seminar IV</t>
  </si>
  <si>
    <t>Foreign History Seminar I</t>
  </si>
  <si>
    <t>Foreign History Seminar II</t>
  </si>
  <si>
    <t>Foreign History Seminar III</t>
  </si>
  <si>
    <t>Foreign History Seminar IV</t>
  </si>
  <si>
    <t>Law Seminar I</t>
  </si>
  <si>
    <t>Law Seminar II</t>
  </si>
  <si>
    <t>Law Seminar III</t>
  </si>
  <si>
    <t>Law Seminar IV</t>
  </si>
  <si>
    <t>Sociology Seminar I</t>
  </si>
  <si>
    <t>Sociology Seminar II</t>
  </si>
  <si>
    <t>Sociology Seminar III</t>
  </si>
  <si>
    <t>Sociology Seminar IV</t>
  </si>
  <si>
    <t>Economics Seminar I</t>
  </si>
  <si>
    <t>Economics Seminar II</t>
  </si>
  <si>
    <t>Economics Seminar III</t>
  </si>
  <si>
    <t>Economics Seminar IV</t>
  </si>
  <si>
    <t>Ethics Seminar I</t>
  </si>
  <si>
    <t>Ethics Seminar II</t>
  </si>
  <si>
    <t>Ethics Seminar III</t>
  </si>
  <si>
    <t>Ethics Seminar IV</t>
  </si>
  <si>
    <t>Political Science Seminar I</t>
  </si>
  <si>
    <t>Political Science Seminar II</t>
  </si>
  <si>
    <t>Political Science Seminar III</t>
  </si>
  <si>
    <t>Political Science Seminar IV</t>
  </si>
  <si>
    <t>Algebra I</t>
  </si>
  <si>
    <t>Geometry I</t>
  </si>
  <si>
    <t>Calculus I</t>
  </si>
  <si>
    <t>Probability and Statistics I</t>
  </si>
  <si>
    <t>Probability and Statistics II</t>
  </si>
  <si>
    <t>Computer Science I</t>
  </si>
  <si>
    <t>Algebra II</t>
  </si>
  <si>
    <t>Algebra III</t>
  </si>
  <si>
    <t>Geometry II</t>
  </si>
  <si>
    <t>Geometry III</t>
  </si>
  <si>
    <t>Real Analysis II</t>
  </si>
  <si>
    <t>Real Analysis III</t>
  </si>
  <si>
    <t>Introduction to Mathematics (Sets and Logic)</t>
  </si>
  <si>
    <t>Introduction to Mathematics (Algebra)</t>
  </si>
  <si>
    <t>Introduction to Mathematics (Analysis)</t>
  </si>
  <si>
    <t>Introduction to Mathematics Education</t>
  </si>
  <si>
    <t>Computer Science II</t>
  </si>
  <si>
    <t>Algebra IV</t>
  </si>
  <si>
    <t>Algebra V</t>
  </si>
  <si>
    <t>Geometry IV</t>
  </si>
  <si>
    <t>Geometry V</t>
  </si>
  <si>
    <t>Real Analysis IV</t>
  </si>
  <si>
    <t>Real Analysis V</t>
  </si>
  <si>
    <t>Advanced Mathematics</t>
  </si>
  <si>
    <t>Applied Mathematics I</t>
  </si>
  <si>
    <t>Applied Mathematics II</t>
  </si>
  <si>
    <t>Mathematics Education</t>
  </si>
  <si>
    <t>History of Mathematics</t>
  </si>
  <si>
    <t>Mathematics Curriculum Development Research</t>
  </si>
  <si>
    <t>Mathematics Curriculum Design</t>
  </si>
  <si>
    <t>Introduction to Physics I</t>
  </si>
  <si>
    <t>Introduction to Physics II</t>
  </si>
  <si>
    <t>Introduction to Chemistry I</t>
  </si>
  <si>
    <t>Introduction to Chemistry II</t>
  </si>
  <si>
    <t>Introduction to Biology I</t>
  </si>
  <si>
    <t>Introduction to Biology II</t>
  </si>
  <si>
    <t>Introduction to Geology I</t>
  </si>
  <si>
    <t>Introduction to Geology II</t>
  </si>
  <si>
    <t>Basic Physics Laboratory</t>
  </si>
  <si>
    <t>Basic Chemistry Laboratory</t>
  </si>
  <si>
    <t>Basic Biology Laboratory</t>
  </si>
  <si>
    <t>Basic Geology Laboratory</t>
  </si>
  <si>
    <t>Fundamentals of Environmental Science Laboratory</t>
  </si>
  <si>
    <t>Mechanics</t>
  </si>
  <si>
    <t>Electromagnetism</t>
  </si>
  <si>
    <t>Organic Chemistry</t>
  </si>
  <si>
    <t>Biochemistry</t>
  </si>
  <si>
    <t>Animal Taxonomy</t>
  </si>
  <si>
    <t>Petrology</t>
  </si>
  <si>
    <t>Junior High School Science Experiment I</t>
  </si>
  <si>
    <t>Junior High School Science Experiment II</t>
  </si>
  <si>
    <t>Science Curriculum Development Research</t>
  </si>
  <si>
    <t>Thermodynamics</t>
  </si>
  <si>
    <t>Plant Taxonomy</t>
  </si>
  <si>
    <t>Cell Biology</t>
  </si>
  <si>
    <t>Astrophysics</t>
  </si>
  <si>
    <t>Environmental Earth Science</t>
  </si>
  <si>
    <t>Inorganic Chemistry</t>
  </si>
  <si>
    <t>Analytical Chemistry</t>
  </si>
  <si>
    <t>Special Lecture on Science Education I</t>
  </si>
  <si>
    <t>Science Curriculum Development Practicum</t>
  </si>
  <si>
    <t>Geology Field Practice</t>
  </si>
  <si>
    <t>Biology Field Practice</t>
  </si>
  <si>
    <t>Physics Experiment I</t>
  </si>
  <si>
    <t>Physics Experiment II</t>
  </si>
  <si>
    <t>Chemistry Experiment I</t>
  </si>
  <si>
    <t>Chemistry Experiment II</t>
  </si>
  <si>
    <t>Biology Experiment I</t>
  </si>
  <si>
    <t>Biology Experiment II</t>
  </si>
  <si>
    <t>Geology Experiment I</t>
  </si>
  <si>
    <t>Geology Experiment II</t>
  </si>
  <si>
    <t>Science Education Experiment I</t>
  </si>
  <si>
    <t>Science Education Experiment II</t>
  </si>
  <si>
    <t>Physics Seminar</t>
  </si>
  <si>
    <t>Chemistry Seminar</t>
  </si>
  <si>
    <t>Biology Seminar</t>
  </si>
  <si>
    <t>Geology Seminar</t>
  </si>
  <si>
    <t>Science Education Seminar</t>
  </si>
  <si>
    <t>教育実習（中） was NG</t>
  </si>
  <si>
    <t>教育実践フィールド科目 was NG</t>
  </si>
  <si>
    <t>unknown</t>
  </si>
  <si>
    <t>error :初等国語</t>
  </si>
  <si>
    <t>error :初等社会</t>
  </si>
  <si>
    <t>error :初等算数</t>
  </si>
  <si>
    <t>error :初等理科</t>
  </si>
  <si>
    <t>error :初等生活</t>
  </si>
  <si>
    <t>error :初等音楽</t>
  </si>
  <si>
    <t>error :初等図画工作</t>
  </si>
  <si>
    <t>error :初等家庭</t>
  </si>
  <si>
    <t>error :初等体育</t>
  </si>
  <si>
    <t>error :初等英語</t>
  </si>
  <si>
    <t>error :初等国語科教育法</t>
  </si>
  <si>
    <t>error :初等社会科教育法</t>
  </si>
  <si>
    <t>error :初等算数科教育法</t>
  </si>
  <si>
    <t>error :初等理科教育法</t>
  </si>
  <si>
    <t>error :初等生活科教育法</t>
  </si>
  <si>
    <t>error :初等音楽科教育法</t>
  </si>
  <si>
    <t>error :初等図画工作科教育法</t>
  </si>
  <si>
    <t>error :初等家庭科教育法</t>
  </si>
  <si>
    <t>error :初等英語科教育法</t>
  </si>
  <si>
    <t>error :初等体育科教育法</t>
  </si>
  <si>
    <t>Pre and Post-Instruction for Educational Practicum,Educational Practicum (Secondary) I</t>
  </si>
  <si>
    <t>Advisor Signature</t>
  </si>
  <si>
    <t>General Ed</t>
  </si>
  <si>
    <t>Study Abroad</t>
  </si>
  <si>
    <t>Major:</t>
  </si>
  <si>
    <t>Practicum:</t>
  </si>
  <si>
    <t>Practical Education:</t>
  </si>
  <si>
    <t>Education:</t>
  </si>
  <si>
    <t>Name:</t>
  </si>
  <si>
    <t>Student Number:</t>
  </si>
  <si>
    <t>Campus:</t>
  </si>
  <si>
    <t>Credits:</t>
  </si>
  <si>
    <t>Time Table:</t>
  </si>
  <si>
    <t>Elementary:</t>
  </si>
  <si>
    <t>Special Research in English and American Literature</t>
  </si>
  <si>
    <t>Teaching Methods for Secondary English I</t>
  </si>
  <si>
    <t>Teaching Methods for Secondary English II</t>
  </si>
  <si>
    <t>Teaching Methods for Secondary English III</t>
  </si>
  <si>
    <t>Teaching Methods for Secondary English IV</t>
  </si>
  <si>
    <t>English Linguistics Seminar II</t>
  </si>
  <si>
    <t>English Linguistics Seminar III</t>
  </si>
  <si>
    <t>English Linguistics Seminar IV</t>
  </si>
  <si>
    <t>British and American Literature Seminar II</t>
  </si>
  <si>
    <t>English Literature Seminar III</t>
  </si>
  <si>
    <t>English Literature Seminar IV</t>
  </si>
  <si>
    <t>English Communication Studies Seminar II</t>
  </si>
  <si>
    <t>English Communication Studies Seminar III</t>
  </si>
  <si>
    <t>English Communication Studies Seminar IV</t>
  </si>
  <si>
    <t>English Education Seminar II</t>
  </si>
  <si>
    <t>English Education Seminar III</t>
  </si>
  <si>
    <t>English Education Seminar IV</t>
  </si>
  <si>
    <t>Special Lecture in English Communication Studies IV</t>
  </si>
  <si>
    <t>English Literature Seminar I</t>
  </si>
  <si>
    <t>English Linguistics Seminar I</t>
  </si>
  <si>
    <t>教養科目 was OKAY</t>
  </si>
  <si>
    <t>（Preschool）</t>
  </si>
  <si>
    <t>Intercultural Understanding II,Care and Experiential Internship</t>
  </si>
  <si>
    <t>Special Lectures in English Linguistics IV</t>
  </si>
  <si>
    <t>Special Lectures in British and American Literature III</t>
  </si>
  <si>
    <t>Special Lectures in British and American Literature IV</t>
  </si>
  <si>
    <t>School Clinical Research,Special Lectures in English Literature II</t>
  </si>
  <si>
    <t>Special Lectures in English Education II</t>
  </si>
  <si>
    <t>英語専攻 was OKAY</t>
  </si>
  <si>
    <t>Tue</t>
  </si>
  <si>
    <t>Mon</t>
  </si>
  <si>
    <t>Wed</t>
  </si>
  <si>
    <t>Thu</t>
  </si>
  <si>
    <t>Fri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</si>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</sst>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;[Red]\(0\)"/>
  </numFmts>
  <fonts count="34">
    <font>
      <sz val="12"/>
      <color theme="1"/>
      <name val="Calibri"/>
      <family val="2"/>
      <charset val="128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2"/>
      <color theme="1"/>
      <name val="Calibri"/>
      <family val="2"/>
      <charset val="128"/>
      <scheme val="minor"/>
    </font>
    <font>
      <sz val="12"/>
      <color theme="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2"/>
      <color theme="10"/>
      <name val="Calibri"/>
      <family val="2"/>
      <charset val="128"/>
      <scheme val="minor"/>
    </font>
    <font>
      <u/>
      <sz val="12"/>
      <color theme="11"/>
      <name val="Calibri"/>
      <family val="2"/>
      <charset val="128"/>
      <scheme val="minor"/>
    </font>
    <font>
      <b/>
      <sz val="12"/>
      <color theme="0"/>
      <name val="Calibri"/>
      <family val="2"/>
      <charset val="128"/>
      <scheme val="minor"/>
    </font>
    <font>
      <sz val="11"/>
      <color rgb="FF00000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2"/>
      <color rgb="FF000000"/>
      <name val="Calibri"/>
      <family val="3"/>
      <charset val="128"/>
      <scheme val="minor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6"/>
      <color rgb="FF000000"/>
      <name val="Calibri"/>
      <family val="3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0"/>
      <color theme="0"/>
      <name val="ＭＳ Ｐゴシック (本文)"/>
      <family val="3"/>
      <charset val="128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charset val="128"/>
      <scheme val="minor"/>
    </font>
    <font>
      <strike/>
      <sz val="11"/>
      <name val="ＭＳ Ｐゴシック"/>
      <family val="3"/>
      <charset val="128"/>
    </font>
    <font>
      <sz val="11"/>
      <name val="Calibri"/>
      <family val="2"/>
      <scheme val="minor"/>
    </font>
    <font>
      <i/>
      <sz val="12"/>
      <color theme="1"/>
      <name val="Calibri"/>
      <family val="2"/>
    </font>
    <font>
      <i/>
      <sz val="12"/>
      <color theme="1"/>
      <name val="Calibri"/>
      <family val="2"/>
      <charset val="128"/>
      <scheme val="minor"/>
    </font>
    <font>
      <i/>
      <sz val="11"/>
      <color theme="1"/>
      <name val="ＭＳ Ｐゴシック"/>
      <family val="3"/>
      <charset val="128"/>
    </font>
    <font>
      <sz val="11"/>
      <color theme="1"/>
      <name val="Courier"/>
      <family val="1"/>
    </font>
    <font>
      <sz val="12"/>
      <color theme="0"/>
      <name val="Courier"/>
      <family val="1"/>
    </font>
    <font>
      <sz val="12"/>
      <color rgb="FF000000"/>
      <name val="Courier"/>
      <family val="1"/>
    </font>
    <font>
      <sz val="12"/>
      <color theme="1"/>
      <name val="Courier"/>
      <family val="1"/>
    </font>
    <font>
      <sz val="16"/>
      <color rgb="FF374151"/>
      <name val="Arial"/>
      <family val="2"/>
    </font>
    <font>
      <sz val="12"/>
      <color rgb="FF000000"/>
      <name val="Calibri"/>
      <family val="2"/>
      <charset val="128"/>
      <scheme val="minor"/>
    </font>
    <font>
      <b/>
      <sz val="12"/>
      <color rgb="FF000000"/>
      <name val="Calibri"/>
      <family val="2"/>
      <charset val="128"/>
      <scheme val="minor"/>
    </font>
    <font>
      <sz val="10"/>
      <color rgb="FF0000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80C880"/>
        <bgColor indexed="64"/>
      </patternFill>
    </fill>
    <fill>
      <patternFill patternType="solid">
        <fgColor rgb="FF80C88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EECE1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60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5" fillId="0" borderId="0">
      <alignment vertical="center"/>
    </xf>
    <xf numFmtId="0" fontId="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09">
    <xf numFmtId="0" fontId="0" fillId="0" borderId="0" xfId="0"/>
    <xf numFmtId="0" fontId="0" fillId="0" borderId="1" xfId="0" applyBorder="1"/>
    <xf numFmtId="0" fontId="0" fillId="3" borderId="0" xfId="0" applyFill="1"/>
    <xf numFmtId="0" fontId="4" fillId="3" borderId="1" xfId="0" applyFont="1" applyFill="1" applyBorder="1"/>
    <xf numFmtId="0" fontId="4" fillId="3" borderId="3" xfId="0" applyFont="1" applyFill="1" applyBorder="1"/>
    <xf numFmtId="0" fontId="5" fillId="2" borderId="0" xfId="0" applyFont="1" applyFill="1" applyAlignment="1">
      <alignment wrapText="1"/>
    </xf>
    <xf numFmtId="0" fontId="0" fillId="4" borderId="4" xfId="0" applyFill="1" applyBorder="1"/>
    <xf numFmtId="0" fontId="10" fillId="4" borderId="4" xfId="0" applyFont="1" applyFill="1" applyBorder="1" applyAlignment="1">
      <alignment vertical="center"/>
    </xf>
    <xf numFmtId="0" fontId="11" fillId="4" borderId="4" xfId="0" applyFont="1" applyFill="1" applyBorder="1" applyAlignment="1">
      <alignment vertical="center"/>
    </xf>
    <xf numFmtId="0" fontId="11" fillId="5" borderId="4" xfId="0" applyFont="1" applyFill="1" applyBorder="1" applyAlignment="1">
      <alignment vertical="center"/>
    </xf>
    <xf numFmtId="0" fontId="9" fillId="2" borderId="4" xfId="0" applyFont="1" applyFill="1" applyBorder="1"/>
    <xf numFmtId="0" fontId="5" fillId="2" borderId="4" xfId="0" applyFont="1" applyFill="1" applyBorder="1"/>
    <xf numFmtId="0" fontId="0" fillId="0" borderId="0" xfId="0" applyProtection="1">
      <protection locked="0"/>
    </xf>
    <xf numFmtId="0" fontId="12" fillId="0" borderId="0" xfId="0" applyFont="1"/>
    <xf numFmtId="16" fontId="0" fillId="0" borderId="0" xfId="0" quotePrefix="1" applyNumberFormat="1"/>
    <xf numFmtId="0" fontId="0" fillId="6" borderId="0" xfId="0" applyFill="1"/>
    <xf numFmtId="0" fontId="11" fillId="6" borderId="4" xfId="0" applyFont="1" applyFill="1" applyBorder="1" applyAlignment="1">
      <alignment vertical="center"/>
    </xf>
    <xf numFmtId="0" fontId="11" fillId="7" borderId="4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10" fillId="8" borderId="4" xfId="0" applyFont="1" applyFill="1" applyBorder="1" applyAlignment="1">
      <alignment vertical="center"/>
    </xf>
    <xf numFmtId="0" fontId="11" fillId="8" borderId="4" xfId="0" applyFont="1" applyFill="1" applyBorder="1" applyAlignment="1">
      <alignment vertical="center"/>
    </xf>
    <xf numFmtId="0" fontId="11" fillId="9" borderId="4" xfId="0" applyFont="1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6" fillId="0" borderId="0" xfId="0" applyFont="1"/>
    <xf numFmtId="0" fontId="12" fillId="0" borderId="6" xfId="0" applyFont="1" applyBorder="1"/>
    <xf numFmtId="0" fontId="12" fillId="0" borderId="7" xfId="0" applyFont="1" applyBorder="1"/>
    <xf numFmtId="0" fontId="2" fillId="0" borderId="0" xfId="0" applyFont="1"/>
    <xf numFmtId="0" fontId="19" fillId="0" borderId="4" xfId="0" applyFon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3" xfId="0" applyBorder="1"/>
    <xf numFmtId="0" fontId="0" fillId="0" borderId="10" xfId="0" applyBorder="1"/>
    <xf numFmtId="0" fontId="0" fillId="0" borderId="5" xfId="0" applyBorder="1"/>
    <xf numFmtId="0" fontId="0" fillId="0" borderId="11" xfId="0" applyBorder="1"/>
    <xf numFmtId="0" fontId="20" fillId="6" borderId="4" xfId="0" applyFont="1" applyFill="1" applyBorder="1" applyAlignment="1">
      <alignment horizontal="left" vertical="top" wrapText="1"/>
    </xf>
    <xf numFmtId="0" fontId="0" fillId="0" borderId="4" xfId="0" applyBorder="1" applyProtection="1">
      <protection locked="0"/>
    </xf>
    <xf numFmtId="0" fontId="0" fillId="6" borderId="4" xfId="0" applyFill="1" applyBorder="1"/>
    <xf numFmtId="0" fontId="0" fillId="11" borderId="0" xfId="0" applyFill="1"/>
    <xf numFmtId="0" fontId="0" fillId="11" borderId="3" xfId="0" applyFill="1" applyBorder="1"/>
    <xf numFmtId="0" fontId="0" fillId="11" borderId="0" xfId="0" applyFill="1" applyProtection="1">
      <protection locked="0"/>
    </xf>
    <xf numFmtId="0" fontId="0" fillId="11" borderId="1" xfId="0" applyFill="1" applyBorder="1"/>
    <xf numFmtId="0" fontId="0" fillId="11" borderId="10" xfId="0" applyFill="1" applyBorder="1"/>
    <xf numFmtId="0" fontId="13" fillId="0" borderId="0" xfId="0" applyFont="1" applyAlignment="1">
      <alignment horizontal="center" vertical="center"/>
    </xf>
    <xf numFmtId="14" fontId="0" fillId="0" borderId="0" xfId="0" quotePrefix="1" applyNumberFormat="1"/>
    <xf numFmtId="0" fontId="4" fillId="0" borderId="0" xfId="0" applyFont="1"/>
    <xf numFmtId="0" fontId="15" fillId="0" borderId="0" xfId="295">
      <alignment vertical="center"/>
    </xf>
    <xf numFmtId="0" fontId="15" fillId="0" borderId="0" xfId="295" applyAlignment="1">
      <alignment horizontal="left" vertical="center"/>
    </xf>
    <xf numFmtId="0" fontId="15" fillId="0" borderId="0" xfId="295" applyAlignment="1">
      <alignment horizontal="center" vertical="center"/>
    </xf>
    <xf numFmtId="0" fontId="15" fillId="0" borderId="0" xfId="295" applyAlignment="1">
      <alignment horizontal="right" vertical="center"/>
    </xf>
    <xf numFmtId="0" fontId="14" fillId="0" borderId="0" xfId="295" applyFont="1">
      <alignment vertical="center"/>
    </xf>
    <xf numFmtId="0" fontId="13" fillId="0" borderId="0" xfId="0" applyFont="1" applyAlignment="1">
      <alignment vertical="center"/>
    </xf>
    <xf numFmtId="0" fontId="15" fillId="0" borderId="0" xfId="295" applyAlignment="1">
      <alignment vertical="center" wrapText="1"/>
    </xf>
    <xf numFmtId="164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vertical="center" shrinkToFit="1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164" fontId="15" fillId="0" borderId="0" xfId="295" applyNumberFormat="1" applyAlignment="1">
      <alignment horizontal="left" vertical="center"/>
    </xf>
    <xf numFmtId="49" fontId="15" fillId="0" borderId="0" xfId="295" applyNumberFormat="1" applyAlignment="1">
      <alignment horizontal="center" vertical="center"/>
    </xf>
    <xf numFmtId="0" fontId="15" fillId="0" borderId="0" xfId="295" applyAlignment="1">
      <alignment horizontal="center" vertical="center" shrinkToFit="1"/>
    </xf>
    <xf numFmtId="0" fontId="21" fillId="0" borderId="0" xfId="295" applyFont="1">
      <alignment vertical="center"/>
    </xf>
    <xf numFmtId="0" fontId="15" fillId="6" borderId="0" xfId="295" applyFill="1">
      <alignment vertical="center"/>
    </xf>
    <xf numFmtId="0" fontId="14" fillId="6" borderId="0" xfId="0" applyFont="1" applyFill="1" applyAlignment="1">
      <alignment vertical="center"/>
    </xf>
    <xf numFmtId="0" fontId="15" fillId="8" borderId="0" xfId="0" applyFont="1" applyFill="1" applyAlignment="1">
      <alignment vertical="center"/>
    </xf>
    <xf numFmtId="0" fontId="15" fillId="8" borderId="0" xfId="295" applyFill="1">
      <alignment vertical="center"/>
    </xf>
    <xf numFmtId="0" fontId="15" fillId="0" borderId="0" xfId="0" applyFont="1" applyAlignment="1">
      <alignment horizontal="right" vertical="center"/>
    </xf>
    <xf numFmtId="0" fontId="12" fillId="6" borderId="0" xfId="0" applyFont="1" applyFill="1"/>
    <xf numFmtId="0" fontId="14" fillId="8" borderId="0" xfId="0" applyFont="1" applyFill="1" applyAlignment="1">
      <alignment vertical="center"/>
    </xf>
    <xf numFmtId="0" fontId="14" fillId="6" borderId="0" xfId="295" applyFont="1" applyFill="1">
      <alignment vertical="center"/>
    </xf>
    <xf numFmtId="0" fontId="14" fillId="8" borderId="0" xfId="295" applyFont="1" applyFill="1">
      <alignment vertical="center"/>
    </xf>
    <xf numFmtId="0" fontId="15" fillId="0" borderId="0" xfId="0" applyFont="1" applyAlignment="1">
      <alignment horizontal="center" vertical="center" wrapText="1"/>
    </xf>
    <xf numFmtId="0" fontId="15" fillId="0" borderId="0" xfId="295" applyAlignment="1">
      <alignment horizontal="center" vertical="center" wrapText="1"/>
    </xf>
    <xf numFmtId="14" fontId="15" fillId="0" borderId="0" xfId="0" quotePrefix="1" applyNumberFormat="1" applyFont="1" applyAlignment="1">
      <alignment horizontal="right" vertical="center"/>
    </xf>
    <xf numFmtId="0" fontId="15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4" fillId="0" borderId="0" xfId="0" applyFont="1"/>
    <xf numFmtId="0" fontId="23" fillId="0" borderId="0" xfId="0" applyFont="1" applyAlignment="1">
      <alignment horizontal="center" vertical="center" shrinkToFit="1"/>
    </xf>
    <xf numFmtId="0" fontId="23" fillId="0" borderId="0" xfId="0" applyFont="1"/>
    <xf numFmtId="0" fontId="25" fillId="0" borderId="0" xfId="295" applyFont="1">
      <alignment vertical="center"/>
    </xf>
    <xf numFmtId="0" fontId="1" fillId="0" borderId="4" xfId="0" applyFont="1" applyBorder="1" applyProtection="1">
      <protection locked="0"/>
    </xf>
    <xf numFmtId="0" fontId="26" fillId="0" borderId="0" xfId="0" applyFont="1"/>
    <xf numFmtId="0" fontId="27" fillId="2" borderId="0" xfId="0" applyFont="1" applyFill="1" applyAlignment="1">
      <alignment wrapText="1"/>
    </xf>
    <xf numFmtId="0" fontId="28" fillId="11" borderId="0" xfId="0" applyFont="1" applyFill="1" applyProtection="1">
      <protection locked="0"/>
    </xf>
    <xf numFmtId="0" fontId="29" fillId="11" borderId="0" xfId="0" applyFont="1" applyFill="1" applyProtection="1">
      <protection locked="0"/>
    </xf>
    <xf numFmtId="0" fontId="29" fillId="11" borderId="1" xfId="0" applyFont="1" applyFill="1" applyBorder="1" applyProtection="1">
      <protection locked="0"/>
    </xf>
    <xf numFmtId="0" fontId="29" fillId="0" borderId="0" xfId="0" applyFont="1" applyProtection="1">
      <protection locked="0"/>
    </xf>
    <xf numFmtId="0" fontId="29" fillId="0" borderId="1" xfId="0" applyFont="1" applyBorder="1" applyProtection="1">
      <protection locked="0"/>
    </xf>
    <xf numFmtId="0" fontId="29" fillId="0" borderId="0" xfId="0" applyFont="1"/>
    <xf numFmtId="0" fontId="30" fillId="0" borderId="0" xfId="0" applyFont="1"/>
    <xf numFmtId="0" fontId="15" fillId="6" borderId="0" xfId="0" applyFont="1" applyFill="1" applyAlignment="1">
      <alignment vertical="center"/>
    </xf>
    <xf numFmtId="0" fontId="30" fillId="6" borderId="0" xfId="0" applyFont="1" applyFill="1"/>
    <xf numFmtId="0" fontId="30" fillId="8" borderId="0" xfId="0" applyFont="1" applyFill="1"/>
    <xf numFmtId="0" fontId="15" fillId="9" borderId="0" xfId="0" applyFont="1" applyFill="1" applyAlignment="1">
      <alignment vertical="center"/>
    </xf>
    <xf numFmtId="0" fontId="4" fillId="3" borderId="1" xfId="0" applyFont="1" applyFill="1" applyBorder="1" applyAlignment="1">
      <alignment wrapText="1"/>
    </xf>
    <xf numFmtId="0" fontId="31" fillId="12" borderId="0" xfId="0" applyFont="1" applyFill="1"/>
    <xf numFmtId="0" fontId="32" fillId="12" borderId="1" xfId="0" applyFont="1" applyFill="1" applyBorder="1"/>
    <xf numFmtId="0" fontId="32" fillId="12" borderId="1" xfId="0" applyFont="1" applyFill="1" applyBorder="1" applyAlignment="1">
      <alignment wrapText="1"/>
    </xf>
    <xf numFmtId="0" fontId="32" fillId="12" borderId="3" xfId="0" applyFont="1" applyFill="1" applyBorder="1"/>
    <xf numFmtId="0" fontId="33" fillId="7" borderId="10" xfId="0" applyFont="1" applyFill="1" applyBorder="1" applyAlignment="1">
      <alignment horizontal="left" vertical="top" wrapText="1"/>
    </xf>
    <xf numFmtId="0" fontId="2" fillId="0" borderId="0" xfId="0" applyFont="1"/>
    <xf numFmtId="0" fontId="20" fillId="6" borderId="8" xfId="0" applyFont="1" applyFill="1" applyBorder="1" applyAlignment="1">
      <alignment horizontal="left" vertical="top" wrapText="1"/>
    </xf>
    <xf numFmtId="0" fontId="20" fillId="6" borderId="2" xfId="0" applyFont="1" applyFill="1" applyBorder="1" applyAlignment="1">
      <alignment horizontal="left" vertical="top" wrapText="1"/>
    </xf>
    <xf numFmtId="0" fontId="20" fillId="6" borderId="9" xfId="0" applyFont="1" applyFill="1" applyBorder="1" applyAlignment="1">
      <alignment horizontal="left" vertical="top" wrapText="1"/>
    </xf>
    <xf numFmtId="0" fontId="33" fillId="7" borderId="8" xfId="0" applyFont="1" applyFill="1" applyBorder="1" applyAlignment="1">
      <alignment horizontal="left" vertical="top" wrapText="1"/>
    </xf>
    <xf numFmtId="0" fontId="33" fillId="7" borderId="2" xfId="0" applyFont="1" applyFill="1" applyBorder="1" applyAlignment="1">
      <alignment horizontal="left" vertical="top" wrapText="1"/>
    </xf>
    <xf numFmtId="0" fontId="33" fillId="7" borderId="12" xfId="0" applyFont="1" applyFill="1" applyBorder="1" applyAlignment="1">
      <alignment horizontal="left" vertical="top" wrapText="1"/>
    </xf>
    <xf numFmtId="0" fontId="18" fillId="10" borderId="0" xfId="0" applyFont="1" applyFill="1" applyAlignment="1">
      <alignment horizontal="center"/>
    </xf>
  </cellXfs>
  <cellStyles count="36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Normal" xfId="0" builtinId="0"/>
    <cellStyle name="標準 2" xfId="296" xr:uid="{00000000-0005-0000-0000-0000B2000000}"/>
    <cellStyle name="標準 2 2" xfId="295" xr:uid="{00000000-0005-0000-0000-0000B3000000}"/>
    <cellStyle name="標準 2 4" xfId="357" xr:uid="{00000000-0005-0000-0000-0000B4000000}"/>
    <cellStyle name="標準 2 4 2" xfId="358" xr:uid="{D4C53CB6-09CA-4C41-9520-C595CE50097B}"/>
    <cellStyle name="標準 2 4 2 2" xfId="359" xr:uid="{9B6A446B-FD59-B84E-BB6D-EE26404F4209}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2"/>
  <sheetViews>
    <sheetView workbookViewId="0">
      <selection activeCell="B33" sqref="B33"/>
    </sheetView>
  </sheetViews>
  <sheetFormatPr baseColWidth="10" defaultColWidth="8.83203125" defaultRowHeight="16"/>
  <cols>
    <col min="1" max="1" width="10.6640625" bestFit="1" customWidth="1"/>
  </cols>
  <sheetData>
    <row r="1" spans="1:2">
      <c r="A1" t="s">
        <v>159</v>
      </c>
      <c r="B1" t="s">
        <v>157</v>
      </c>
    </row>
    <row r="2" spans="1:2">
      <c r="A2" t="s">
        <v>160</v>
      </c>
      <c r="B2" t="s">
        <v>158</v>
      </c>
    </row>
    <row r="3" spans="1:2">
      <c r="A3" t="s">
        <v>161</v>
      </c>
      <c r="B3" t="s">
        <v>156</v>
      </c>
    </row>
    <row r="4" spans="1:2">
      <c r="A4" t="s">
        <v>167</v>
      </c>
      <c r="B4" t="s">
        <v>162</v>
      </c>
    </row>
    <row r="5" spans="1:2">
      <c r="A5" t="s">
        <v>164</v>
      </c>
      <c r="B5" t="s">
        <v>163</v>
      </c>
    </row>
    <row r="6" spans="1:2">
      <c r="A6" t="s">
        <v>165</v>
      </c>
      <c r="B6" t="s">
        <v>166</v>
      </c>
    </row>
    <row r="7" spans="1:2">
      <c r="A7" t="s">
        <v>168</v>
      </c>
      <c r="B7" t="s">
        <v>169</v>
      </c>
    </row>
    <row r="8" spans="1:2">
      <c r="A8" t="s">
        <v>170</v>
      </c>
      <c r="B8" t="s">
        <v>171</v>
      </c>
    </row>
    <row r="9" spans="1:2">
      <c r="A9" t="s">
        <v>172</v>
      </c>
      <c r="B9" t="s">
        <v>69</v>
      </c>
    </row>
    <row r="10" spans="1:2">
      <c r="A10" t="s">
        <v>173</v>
      </c>
      <c r="B10" t="s">
        <v>47</v>
      </c>
    </row>
    <row r="11" spans="1:2">
      <c r="A11" t="s">
        <v>174</v>
      </c>
      <c r="B11" t="s">
        <v>89</v>
      </c>
    </row>
    <row r="12" spans="1:2">
      <c r="A12" t="s">
        <v>175</v>
      </c>
      <c r="B12" t="s">
        <v>88</v>
      </c>
    </row>
    <row r="13" spans="1:2">
      <c r="A13" t="s">
        <v>176</v>
      </c>
      <c r="B13" t="s">
        <v>92</v>
      </c>
    </row>
    <row r="14" spans="1:2">
      <c r="A14" t="s">
        <v>177</v>
      </c>
      <c r="B14" t="s">
        <v>48</v>
      </c>
    </row>
    <row r="15" spans="1:2">
      <c r="A15" t="s">
        <v>178</v>
      </c>
      <c r="B15" t="s">
        <v>91</v>
      </c>
    </row>
    <row r="16" spans="1:2">
      <c r="A16" t="s">
        <v>182</v>
      </c>
      <c r="B16" t="s">
        <v>179</v>
      </c>
    </row>
    <row r="17" spans="1:2">
      <c r="A17" t="s">
        <v>183</v>
      </c>
      <c r="B17" t="s">
        <v>95</v>
      </c>
    </row>
    <row r="18" spans="1:2">
      <c r="A18" t="s">
        <v>184</v>
      </c>
      <c r="B18" t="s">
        <v>180</v>
      </c>
    </row>
    <row r="19" spans="1:2">
      <c r="A19" t="s">
        <v>185</v>
      </c>
      <c r="B19" t="s">
        <v>181</v>
      </c>
    </row>
    <row r="20" spans="1:2">
      <c r="A20" t="s">
        <v>187</v>
      </c>
      <c r="B20" t="s">
        <v>186</v>
      </c>
    </row>
    <row r="21" spans="1:2">
      <c r="A21" t="s">
        <v>188</v>
      </c>
      <c r="B21" t="s">
        <v>151</v>
      </c>
    </row>
    <row r="22" spans="1:2">
      <c r="A22" t="s">
        <v>189</v>
      </c>
      <c r="B22" t="s">
        <v>45</v>
      </c>
    </row>
    <row r="23" spans="1:2">
      <c r="A23" t="s">
        <v>190</v>
      </c>
      <c r="B23" t="s">
        <v>46</v>
      </c>
    </row>
    <row r="24" spans="1:2">
      <c r="A24" t="s">
        <v>192</v>
      </c>
      <c r="B24" t="s">
        <v>191</v>
      </c>
    </row>
    <row r="25" spans="1:2">
      <c r="A25" t="s">
        <v>194</v>
      </c>
      <c r="B25" t="s">
        <v>193</v>
      </c>
    </row>
    <row r="26" spans="1:2">
      <c r="A26" t="s">
        <v>195</v>
      </c>
      <c r="B26" t="s">
        <v>198</v>
      </c>
    </row>
    <row r="27" spans="1:2">
      <c r="A27" t="s">
        <v>197</v>
      </c>
      <c r="B27" t="s">
        <v>196</v>
      </c>
    </row>
    <row r="28" spans="1:2">
      <c r="A28" t="s">
        <v>199</v>
      </c>
      <c r="B28" s="43" t="s">
        <v>206</v>
      </c>
    </row>
    <row r="29" spans="1:2">
      <c r="A29" t="s">
        <v>201</v>
      </c>
      <c r="B29" t="s">
        <v>259</v>
      </c>
    </row>
    <row r="30" spans="1:2">
      <c r="A30" t="s">
        <v>253</v>
      </c>
      <c r="B30" t="s">
        <v>249</v>
      </c>
    </row>
    <row r="31" spans="1:2">
      <c r="A31" t="s">
        <v>348</v>
      </c>
      <c r="B31" t="s">
        <v>349</v>
      </c>
    </row>
    <row r="32" spans="1:2">
      <c r="A32" t="s">
        <v>549</v>
      </c>
      <c r="B32" t="s">
        <v>550</v>
      </c>
    </row>
  </sheetData>
  <phoneticPr fontId="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Z82"/>
  <sheetViews>
    <sheetView topLeftCell="A33" workbookViewId="0">
      <selection activeCell="A2" sqref="A2:K398"/>
    </sheetView>
  </sheetViews>
  <sheetFormatPr baseColWidth="10" defaultColWidth="8.83203125" defaultRowHeight="16"/>
  <cols>
    <col min="3" max="3" width="10.83203125" bestFit="1" customWidth="1"/>
    <col min="4" max="4" width="18.5" bestFit="1" customWidth="1"/>
    <col min="5" max="5" width="2.83203125" bestFit="1" customWidth="1"/>
  </cols>
  <sheetData>
    <row r="1" spans="1:26" ht="34">
      <c r="A1" t="s">
        <v>45</v>
      </c>
      <c r="B1" t="s">
        <v>46</v>
      </c>
      <c r="C1" s="5" t="s">
        <v>0</v>
      </c>
      <c r="D1" s="5" t="s">
        <v>1</v>
      </c>
      <c r="E1" s="5" t="s">
        <v>135</v>
      </c>
      <c r="F1" s="5" t="s">
        <v>6</v>
      </c>
      <c r="G1" s="5" t="s">
        <v>2</v>
      </c>
      <c r="H1" s="5" t="s">
        <v>3</v>
      </c>
      <c r="I1" s="5" t="s">
        <v>4</v>
      </c>
      <c r="J1" s="5" t="s">
        <v>5</v>
      </c>
      <c r="K1" s="5" t="s">
        <v>7</v>
      </c>
    </row>
    <row r="2" spans="1:26" ht="17">
      <c r="A2" s="37">
        <v>1</v>
      </c>
      <c r="B2" s="37" t="s">
        <v>69</v>
      </c>
      <c r="C2" s="84">
        <v>37006</v>
      </c>
      <c r="D2" s="37" t="str">
        <f>IF($C2&lt;&gt;"",VLOOKUP($C2,授業リスト!$A:$J,2,FALSE),"")</f>
        <v>Sport and Wellness I</v>
      </c>
      <c r="E2" s="37" t="str">
        <f>IF($C2&lt;&gt;"",VLOOKUP($C2,授業リスト!$A:$J,3,FALSE),"")</f>
        <v>CH3</v>
      </c>
      <c r="F2" s="37" t="str">
        <f>IF($C2&lt;&gt;"",VLOOKUP($C2,授業リスト!$A:$J,8,FALSE),"")</f>
        <v>Emily Dickinson</v>
      </c>
      <c r="G2" s="37">
        <f>IF($C2&lt;&gt;"",VLOOKUP($C2,授業リスト!$A:$J,4,FALSE),"")</f>
        <v>1</v>
      </c>
      <c r="H2" s="37" t="str">
        <f>IF($C2&lt;&gt;"",VLOOKUP($C2,授業リスト!$A:$J,5,FALSE),"")</f>
        <v>前</v>
      </c>
      <c r="I2" s="37" t="str">
        <f>IF($C2&lt;&gt;"",VLOOKUP($C2,授業リスト!$A:$J,6,FALSE),"")</f>
        <v>月</v>
      </c>
      <c r="J2" s="37">
        <f>IF($C2&lt;&gt;"",VLOOKUP($C2,授業リスト!$A:$J,7,FALSE),"")</f>
        <v>3</v>
      </c>
      <c r="K2" s="38">
        <f>IF($C2&lt;&gt;"",VLOOKUP($C2,授業リスト!$A:$J,9,FALSE),"")</f>
        <v>1</v>
      </c>
      <c r="N2" t="str">
        <f>IF($C2&lt;&gt;"",VLOOKUP($C2,授業リスト!$A:$Z,COLUMN(),FALSE),"")</f>
        <v>Y</v>
      </c>
      <c r="O2" t="str">
        <f>IF($C2&lt;&gt;"",VLOOKUP($C2,授業リスト!$A:$Z,COLUMN(),FALSE),"")</f>
        <v/>
      </c>
      <c r="P2" t="str">
        <f>IF($C2&lt;&gt;"",VLOOKUP($C2,授業リスト!$A:$Z,COLUMN(),FALSE),"")</f>
        <v/>
      </c>
      <c r="Q2" t="str">
        <f>IF($C2&lt;&gt;"",VLOOKUP($C2,授業リスト!$A:$Z,COLUMN(),FALSE),"")</f>
        <v/>
      </c>
      <c r="R2" t="str">
        <f>IF($C2&lt;&gt;"",VLOOKUP($C2,授業リスト!$A:$Z,COLUMN(),FALSE),"")</f>
        <v/>
      </c>
      <c r="S2" t="str">
        <f>IF($C2&lt;&gt;"",VLOOKUP($C2,授業リスト!$A:$Z,COLUMN(),FALSE),"")</f>
        <v/>
      </c>
      <c r="T2" t="str">
        <f>IF($C2&lt;&gt;"",VLOOKUP($C2,授業リスト!$A:$Z,COLUMN(),FALSE),"")</f>
        <v/>
      </c>
      <c r="U2" t="str">
        <f>IF($C2&lt;&gt;"",VLOOKUP($C2,授業リスト!$A:$Z,COLUMN(),FALSE),"")</f>
        <v/>
      </c>
      <c r="V2" t="str">
        <f>IF($C2&lt;&gt;"",VLOOKUP($C2,授業リスト!$A:$Z,COLUMN(),FALSE),"")</f>
        <v/>
      </c>
      <c r="W2">
        <f>IF($C2&lt;&gt;"",VLOOKUP($C2,授業リスト!$A:$Z,COLUMN(),FALSE),"")</f>
        <v>0</v>
      </c>
      <c r="X2">
        <f>IF($C2&lt;&gt;"",VLOOKUP($C2,授業リスト!$A:$Z,COLUMN(),FALSE),"")</f>
        <v>0</v>
      </c>
      <c r="Y2">
        <f>IF($C2&lt;&gt;"",VLOOKUP($C2,授業リスト!$A:$Z,COLUMN(),FALSE),"")</f>
        <v>0</v>
      </c>
      <c r="Z2">
        <f>IF($C2&lt;&gt;"",VLOOKUP($C2,授業リスト!$A:$Z,COLUMN(),FALSE),"")</f>
        <v>0</v>
      </c>
    </row>
    <row r="3" spans="1:26" ht="17">
      <c r="A3" s="37">
        <v>1</v>
      </c>
      <c r="B3" s="37" t="s">
        <v>69</v>
      </c>
      <c r="C3" s="84">
        <v>37022</v>
      </c>
      <c r="D3" s="37" t="str">
        <f>IF($C3&lt;&gt;"",VLOOKUP($C3,授業リスト!$A:$J,2,FALSE),"")</f>
        <v>Computer Literacy</v>
      </c>
      <c r="E3" s="37" t="str">
        <f>IF($C3&lt;&gt;"",VLOOKUP($C3,授業リスト!$A:$J,3,FALSE),"")</f>
        <v>C</v>
      </c>
      <c r="F3" s="37" t="str">
        <f>IF($C3&lt;&gt;"",VLOOKUP($C3,授業リスト!$A:$J,8,FALSE),"")</f>
        <v>Emily Brontë</v>
      </c>
      <c r="G3" s="37">
        <f>IF($C3&lt;&gt;"",VLOOKUP($C3,授業リスト!$A:$J,4,FALSE),"")</f>
        <v>2</v>
      </c>
      <c r="H3" s="37" t="str">
        <f>IF($C3&lt;&gt;"",VLOOKUP($C3,授業リスト!$A:$J,5,FALSE),"")</f>
        <v>前</v>
      </c>
      <c r="I3" s="37" t="str">
        <f>IF($C3&lt;&gt;"",VLOOKUP($C3,授業リスト!$A:$J,6,FALSE),"")</f>
        <v>水</v>
      </c>
      <c r="J3" s="37">
        <f>IF($C3&lt;&gt;"",VLOOKUP($C3,授業リスト!$A:$J,7,FALSE),"")</f>
        <v>3</v>
      </c>
      <c r="K3" s="38">
        <f>IF($C3&lt;&gt;"",VLOOKUP($C3,授業リスト!$A:$J,9,FALSE),"")</f>
        <v>1</v>
      </c>
      <c r="N3" t="str">
        <f>IF($C3&lt;&gt;"",VLOOKUP($C3,授業リスト!$A:$Z,COLUMN(),FALSE),"")</f>
        <v>Y</v>
      </c>
      <c r="O3" t="str">
        <f>IF($C3&lt;&gt;"",VLOOKUP($C3,授業リスト!$A:$Z,COLUMN(),FALSE),"")</f>
        <v/>
      </c>
      <c r="P3" t="str">
        <f>IF($C3&lt;&gt;"",VLOOKUP($C3,授業リスト!$A:$Z,COLUMN(),FALSE),"")</f>
        <v/>
      </c>
      <c r="Q3" t="str">
        <f>IF($C3&lt;&gt;"",VLOOKUP($C3,授業リスト!$A:$Z,COLUMN(),FALSE),"")</f>
        <v/>
      </c>
      <c r="R3" t="str">
        <f>IF($C3&lt;&gt;"",VLOOKUP($C3,授業リスト!$A:$Z,COLUMN(),FALSE),"")</f>
        <v/>
      </c>
      <c r="S3" t="str">
        <f>IF($C3&lt;&gt;"",VLOOKUP($C3,授業リスト!$A:$Z,COLUMN(),FALSE),"")</f>
        <v/>
      </c>
      <c r="T3" t="str">
        <f>IF($C3&lt;&gt;"",VLOOKUP($C3,授業リスト!$A:$Z,COLUMN(),FALSE),"")</f>
        <v/>
      </c>
      <c r="U3" t="str">
        <f>IF($C3&lt;&gt;"",VLOOKUP($C3,授業リスト!$A:$Z,COLUMN(),FALSE),"")</f>
        <v/>
      </c>
      <c r="V3" t="str">
        <f>IF($C3&lt;&gt;"",VLOOKUP($C3,授業リスト!$A:$Z,COLUMN(),FALSE),"")</f>
        <v/>
      </c>
      <c r="W3">
        <f>IF($C3&lt;&gt;"",VLOOKUP($C3,授業リスト!$A:$Z,COLUMN(),FALSE),"")</f>
        <v>0</v>
      </c>
      <c r="X3">
        <f>IF($C3&lt;&gt;"",VLOOKUP($C3,授業リスト!$A:$Z,COLUMN(),FALSE),"")</f>
        <v>0</v>
      </c>
      <c r="Y3">
        <f>IF($C3&lt;&gt;"",VLOOKUP($C3,授業リスト!$A:$Z,COLUMN(),FALSE),"")</f>
        <v>0</v>
      </c>
      <c r="Z3">
        <f>IF($C3&lt;&gt;"",VLOOKUP($C3,授業リスト!$A:$Z,COLUMN(),FALSE),"")</f>
        <v>0</v>
      </c>
    </row>
    <row r="4" spans="1:26" ht="17">
      <c r="A4" s="37">
        <v>1</v>
      </c>
      <c r="B4" s="37" t="s">
        <v>69</v>
      </c>
      <c r="C4" s="84">
        <v>37039</v>
      </c>
      <c r="D4" s="37" t="str">
        <f>IF($C4&lt;&gt;"",VLOOKUP($C4,授業リスト!$A:$J,2,FALSE),"")</f>
        <v>English I</v>
      </c>
      <c r="E4" s="37" t="str">
        <f>IF($C4&lt;&gt;"",VLOOKUP($C4,授業リスト!$A:$J,3,FALSE),"")</f>
        <v>h</v>
      </c>
      <c r="F4" s="37" t="str">
        <f>IF($C4&lt;&gt;"",VLOOKUP($C4,授業リスト!$A:$J,8,FALSE),"")</f>
        <v>Antoine de Saint-Exupéry</v>
      </c>
      <c r="G4" s="37">
        <f>IF($C4&lt;&gt;"",VLOOKUP($C4,授業リスト!$A:$J,4,FALSE),"")</f>
        <v>1</v>
      </c>
      <c r="H4" s="37" t="str">
        <f>IF($C4&lt;&gt;"",VLOOKUP($C4,授業リスト!$A:$J,5,FALSE),"")</f>
        <v>前</v>
      </c>
      <c r="I4" s="37" t="str">
        <f>IF($C4&lt;&gt;"",VLOOKUP($C4,授業リスト!$A:$J,6,FALSE),"")</f>
        <v>水</v>
      </c>
      <c r="J4" s="37">
        <f>IF($C4&lt;&gt;"",VLOOKUP($C4,授業リスト!$A:$J,7,FALSE),"")</f>
        <v>1</v>
      </c>
      <c r="K4" s="38">
        <f>IF($C4&lt;&gt;"",VLOOKUP($C4,授業リスト!$A:$J,9,FALSE),"")</f>
        <v>1</v>
      </c>
      <c r="N4" t="str">
        <f>IF($C4&lt;&gt;"",VLOOKUP($C4,授業リスト!$A:$Z,COLUMN(),FALSE),"")</f>
        <v>Y</v>
      </c>
      <c r="O4" t="str">
        <f>IF($C4&lt;&gt;"",VLOOKUP($C4,授業リスト!$A:$Z,COLUMN(),FALSE),"")</f>
        <v/>
      </c>
      <c r="P4" t="str">
        <f>IF($C4&lt;&gt;"",VLOOKUP($C4,授業リスト!$A:$Z,COLUMN(),FALSE),"")</f>
        <v/>
      </c>
      <c r="Q4" t="str">
        <f>IF($C4&lt;&gt;"",VLOOKUP($C4,授業リスト!$A:$Z,COLUMN(),FALSE),"")</f>
        <v/>
      </c>
      <c r="R4" t="str">
        <f>IF($C4&lt;&gt;"",VLOOKUP($C4,授業リスト!$A:$Z,COLUMN(),FALSE),"")</f>
        <v/>
      </c>
      <c r="S4" t="str">
        <f>IF($C4&lt;&gt;"",VLOOKUP($C4,授業リスト!$A:$Z,COLUMN(),FALSE),"")</f>
        <v/>
      </c>
      <c r="T4" t="str">
        <f>IF($C4&lt;&gt;"",VLOOKUP($C4,授業リスト!$A:$Z,COLUMN(),FALSE),"")</f>
        <v/>
      </c>
      <c r="U4" t="str">
        <f>IF($C4&lt;&gt;"",VLOOKUP($C4,授業リスト!$A:$Z,COLUMN(),FALSE),"")</f>
        <v/>
      </c>
      <c r="V4" t="str">
        <f>IF($C4&lt;&gt;"",VLOOKUP($C4,授業リスト!$A:$Z,COLUMN(),FALSE),"")</f>
        <v/>
      </c>
      <c r="W4">
        <f>IF($C4&lt;&gt;"",VLOOKUP($C4,授業リスト!$A:$Z,COLUMN(),FALSE),"")</f>
        <v>0</v>
      </c>
      <c r="X4">
        <f>IF($C4&lt;&gt;"",VLOOKUP($C4,授業リスト!$A:$Z,COLUMN(),FALSE),"")</f>
        <v>0</v>
      </c>
      <c r="Y4">
        <f>IF($C4&lt;&gt;"",VLOOKUP($C4,授業リスト!$A:$Z,COLUMN(),FALSE),"")</f>
        <v>0</v>
      </c>
      <c r="Z4">
        <f>IF($C4&lt;&gt;"",VLOOKUP($C4,授業リスト!$A:$Z,COLUMN(),FALSE),"")</f>
        <v>0</v>
      </c>
    </row>
    <row r="5" spans="1:26" ht="17">
      <c r="A5" s="37">
        <v>1</v>
      </c>
      <c r="B5" s="37" t="s">
        <v>69</v>
      </c>
      <c r="C5" s="84">
        <v>37047</v>
      </c>
      <c r="D5" s="37" t="str">
        <f>IF($C5&lt;&gt;"",VLOOKUP($C5,授業リスト!$A:$J,2,FALSE),"")</f>
        <v>English II</v>
      </c>
      <c r="E5" s="37" t="str">
        <f>IF($C5&lt;&gt;"",VLOOKUP($C5,授業リスト!$A:$J,3,FALSE),"")</f>
        <v>h</v>
      </c>
      <c r="F5" s="37" t="str">
        <f>IF($C5&lt;&gt;"",VLOOKUP($C5,授業リスト!$A:$J,8,FALSE),"")</f>
        <v>John Milton</v>
      </c>
      <c r="G5" s="37">
        <f>IF($C5&lt;&gt;"",VLOOKUP($C5,授業リスト!$A:$J,4,FALSE),"")</f>
        <v>1</v>
      </c>
      <c r="H5" s="37" t="str">
        <f>IF($C5&lt;&gt;"",VLOOKUP($C5,授業リスト!$A:$J,5,FALSE),"")</f>
        <v>前</v>
      </c>
      <c r="I5" s="37" t="str">
        <f>IF($C5&lt;&gt;"",VLOOKUP($C5,授業リスト!$A:$J,6,FALSE),"")</f>
        <v>木</v>
      </c>
      <c r="J5" s="37">
        <f>IF($C5&lt;&gt;"",VLOOKUP($C5,授業リスト!$A:$J,7,FALSE),"")</f>
        <v>2</v>
      </c>
      <c r="K5" s="38">
        <f>IF($C5&lt;&gt;"",VLOOKUP($C5,授業リスト!$A:$J,9,FALSE),"")</f>
        <v>1</v>
      </c>
      <c r="N5" t="str">
        <f>IF($C5&lt;&gt;"",VLOOKUP($C5,授業リスト!$A:$Z,COLUMN(),FALSE),"")</f>
        <v>Y</v>
      </c>
      <c r="O5" t="str">
        <f>IF($C5&lt;&gt;"",VLOOKUP($C5,授業リスト!$A:$Z,COLUMN(),FALSE),"")</f>
        <v/>
      </c>
      <c r="P5" t="str">
        <f>IF($C5&lt;&gt;"",VLOOKUP($C5,授業リスト!$A:$Z,COLUMN(),FALSE),"")</f>
        <v/>
      </c>
      <c r="Q5" t="str">
        <f>IF($C5&lt;&gt;"",VLOOKUP($C5,授業リスト!$A:$Z,COLUMN(),FALSE),"")</f>
        <v/>
      </c>
      <c r="R5" t="str">
        <f>IF($C5&lt;&gt;"",VLOOKUP($C5,授業リスト!$A:$Z,COLUMN(),FALSE),"")</f>
        <v/>
      </c>
      <c r="S5" t="str">
        <f>IF($C5&lt;&gt;"",VLOOKUP($C5,授業リスト!$A:$Z,COLUMN(),FALSE),"")</f>
        <v/>
      </c>
      <c r="T5" t="str">
        <f>IF($C5&lt;&gt;"",VLOOKUP($C5,授業リスト!$A:$Z,COLUMN(),FALSE),"")</f>
        <v/>
      </c>
      <c r="U5" t="str">
        <f>IF($C5&lt;&gt;"",VLOOKUP($C5,授業リスト!$A:$Z,COLUMN(),FALSE),"")</f>
        <v/>
      </c>
      <c r="V5" t="str">
        <f>IF($C5&lt;&gt;"",VLOOKUP($C5,授業リスト!$A:$Z,COLUMN(),FALSE),"")</f>
        <v/>
      </c>
      <c r="W5">
        <f>IF($C5&lt;&gt;"",VLOOKUP($C5,授業リスト!$A:$Z,COLUMN(),FALSE),"")</f>
        <v>0</v>
      </c>
      <c r="X5">
        <f>IF($C5&lt;&gt;"",VLOOKUP($C5,授業リスト!$A:$Z,COLUMN(),FALSE),"")</f>
        <v>0</v>
      </c>
      <c r="Y5">
        <f>IF($C5&lt;&gt;"",VLOOKUP($C5,授業リスト!$A:$Z,COLUMN(),FALSE),"")</f>
        <v>0</v>
      </c>
      <c r="Z5">
        <f>IF($C5&lt;&gt;"",VLOOKUP($C5,授業リスト!$A:$Z,COLUMN(),FALSE),"")</f>
        <v>0</v>
      </c>
    </row>
    <row r="6" spans="1:26" ht="17">
      <c r="A6" s="37">
        <v>1</v>
      </c>
      <c r="B6" s="37" t="s">
        <v>69</v>
      </c>
      <c r="C6" s="84">
        <v>37067</v>
      </c>
      <c r="D6" s="37" t="str">
        <f>IF($C6&lt;&gt;"",VLOOKUP($C6,授業リスト!$A:$J,2,FALSE),"")</f>
        <v>English Communication I</v>
      </c>
      <c r="E6" s="37" t="str">
        <f>IF($C6&lt;&gt;"",VLOOKUP($C6,授業リスト!$A:$J,3,FALSE),"")</f>
        <v>C</v>
      </c>
      <c r="F6" s="37" t="str">
        <f>IF($C6&lt;&gt;"",VLOOKUP($C6,授業リスト!$A:$J,8,FALSE),"")</f>
        <v>Charles Darwin</v>
      </c>
      <c r="G6" s="37">
        <f>IF($C6&lt;&gt;"",VLOOKUP($C6,授業リスト!$A:$J,4,FALSE),"")</f>
        <v>1</v>
      </c>
      <c r="H6" s="37" t="str">
        <f>IF($C6&lt;&gt;"",VLOOKUP($C6,授業リスト!$A:$J,5,FALSE),"")</f>
        <v>前</v>
      </c>
      <c r="I6" s="37" t="str">
        <f>IF($C6&lt;&gt;"",VLOOKUP($C6,授業リスト!$A:$J,6,FALSE),"")</f>
        <v>火</v>
      </c>
      <c r="J6" s="37">
        <f>IF($C6&lt;&gt;"",VLOOKUP($C6,授業リスト!$A:$J,7,FALSE),"")</f>
        <v>2</v>
      </c>
      <c r="K6" s="38">
        <f>IF($C6&lt;&gt;"",VLOOKUP($C6,授業リスト!$A:$J,9,FALSE),"")</f>
        <v>1</v>
      </c>
      <c r="N6" t="str">
        <f>IF($C6&lt;&gt;"",VLOOKUP($C6,授業リスト!$A:$Z,COLUMN(),FALSE),"")</f>
        <v>Y</v>
      </c>
      <c r="O6" t="str">
        <f>IF($C6&lt;&gt;"",VLOOKUP($C6,授業リスト!$A:$Z,COLUMN(),FALSE),"")</f>
        <v/>
      </c>
      <c r="P6" t="str">
        <f>IF($C6&lt;&gt;"",VLOOKUP($C6,授業リスト!$A:$Z,COLUMN(),FALSE),"")</f>
        <v/>
      </c>
      <c r="Q6" t="str">
        <f>IF($C6&lt;&gt;"",VLOOKUP($C6,授業リスト!$A:$Z,COLUMN(),FALSE),"")</f>
        <v/>
      </c>
      <c r="R6" t="str">
        <f>IF($C6&lt;&gt;"",VLOOKUP($C6,授業リスト!$A:$Z,COLUMN(),FALSE),"")</f>
        <v/>
      </c>
      <c r="S6" t="str">
        <f>IF($C6&lt;&gt;"",VLOOKUP($C6,授業リスト!$A:$Z,COLUMN(),FALSE),"")</f>
        <v/>
      </c>
      <c r="T6" t="str">
        <f>IF($C6&lt;&gt;"",VLOOKUP($C6,授業リスト!$A:$Z,COLUMN(),FALSE),"")</f>
        <v/>
      </c>
      <c r="U6" t="str">
        <f>IF($C6&lt;&gt;"",VLOOKUP($C6,授業リスト!$A:$Z,COLUMN(),FALSE),"")</f>
        <v/>
      </c>
      <c r="V6" t="str">
        <f>IF($C6&lt;&gt;"",VLOOKUP($C6,授業リスト!$A:$Z,COLUMN(),FALSE),"")</f>
        <v/>
      </c>
      <c r="W6">
        <f>IF($C6&lt;&gt;"",VLOOKUP($C6,授業リスト!$A:$Z,COLUMN(),FALSE),"")</f>
        <v>0</v>
      </c>
      <c r="X6">
        <f>IF($C6&lt;&gt;"",VLOOKUP($C6,授業リスト!$A:$Z,COLUMN(),FALSE),"")</f>
        <v>0</v>
      </c>
      <c r="Y6">
        <f>IF($C6&lt;&gt;"",VLOOKUP($C6,授業リスト!$A:$Z,COLUMN(),FALSE),"")</f>
        <v>0</v>
      </c>
      <c r="Z6">
        <f>IF($C6&lt;&gt;"",VLOOKUP($C6,授業リスト!$A:$Z,COLUMN(),FALSE),"")</f>
        <v>0</v>
      </c>
    </row>
    <row r="7" spans="1:26" ht="17">
      <c r="A7" s="37">
        <v>1</v>
      </c>
      <c r="B7" s="37" t="s">
        <v>69</v>
      </c>
      <c r="C7" s="84">
        <v>37087</v>
      </c>
      <c r="D7" s="37" t="str">
        <f>IF($C7&lt;&gt;"",VLOOKUP($C7,授業リスト!$A:$J,2,FALSE),"")</f>
        <v>Academic Skills</v>
      </c>
      <c r="E7" s="37" t="str">
        <f>IF($C7&lt;&gt;"",VLOOKUP($C7,授業リスト!$A:$J,3,FALSE),"")</f>
        <v>C</v>
      </c>
      <c r="F7" s="37" t="str">
        <f>IF($C7&lt;&gt;"",VLOOKUP($C7,授業リスト!$A:$J,8,FALSE),"")</f>
        <v>John Locke</v>
      </c>
      <c r="G7" s="37">
        <f>IF($C7&lt;&gt;"",VLOOKUP($C7,授業リスト!$A:$J,4,FALSE),"")</f>
        <v>2</v>
      </c>
      <c r="H7" s="37" t="str">
        <f>IF($C7&lt;&gt;"",VLOOKUP($C7,授業リスト!$A:$J,5,FALSE),"")</f>
        <v>前</v>
      </c>
      <c r="I7" s="37" t="str">
        <f>IF($C7&lt;&gt;"",VLOOKUP($C7,授業リスト!$A:$J,6,FALSE),"")</f>
        <v>水</v>
      </c>
      <c r="J7" s="37">
        <f>IF($C7&lt;&gt;"",VLOOKUP($C7,授業リスト!$A:$J,7,FALSE),"")</f>
        <v>2</v>
      </c>
      <c r="K7" s="38">
        <f>IF($C7&lt;&gt;"",VLOOKUP($C7,授業リスト!$A:$J,9,FALSE),"")</f>
        <v>1</v>
      </c>
      <c r="N7" t="str">
        <f>IF($C7&lt;&gt;"",VLOOKUP($C7,授業リスト!$A:$Z,COLUMN(),FALSE),"")</f>
        <v>Y</v>
      </c>
      <c r="O7" t="str">
        <f>IF($C7&lt;&gt;"",VLOOKUP($C7,授業リスト!$A:$Z,COLUMN(),FALSE),"")</f>
        <v/>
      </c>
      <c r="P7" t="str">
        <f>IF($C7&lt;&gt;"",VLOOKUP($C7,授業リスト!$A:$Z,COLUMN(),FALSE),"")</f>
        <v/>
      </c>
      <c r="Q7" t="str">
        <f>IF($C7&lt;&gt;"",VLOOKUP($C7,授業リスト!$A:$Z,COLUMN(),FALSE),"")</f>
        <v/>
      </c>
      <c r="R7" t="str">
        <f>IF($C7&lt;&gt;"",VLOOKUP($C7,授業リスト!$A:$Z,COLUMN(),FALSE),"")</f>
        <v/>
      </c>
      <c r="S7" t="str">
        <f>IF($C7&lt;&gt;"",VLOOKUP($C7,授業リスト!$A:$Z,COLUMN(),FALSE),"")</f>
        <v/>
      </c>
      <c r="T7" t="str">
        <f>IF($C7&lt;&gt;"",VLOOKUP($C7,授業リスト!$A:$Z,COLUMN(),FALSE),"")</f>
        <v/>
      </c>
      <c r="U7" t="str">
        <f>IF($C7&lt;&gt;"",VLOOKUP($C7,授業リスト!$A:$Z,COLUMN(),FALSE),"")</f>
        <v/>
      </c>
      <c r="V7" t="str">
        <f>IF($C7&lt;&gt;"",VLOOKUP($C7,授業リスト!$A:$Z,COLUMN(),FALSE),"")</f>
        <v/>
      </c>
      <c r="W7">
        <f>IF($C7&lt;&gt;"",VLOOKUP($C7,授業リスト!$A:$Z,COLUMN(),FALSE),"")</f>
        <v>0</v>
      </c>
      <c r="X7">
        <f>IF($C7&lt;&gt;"",VLOOKUP($C7,授業リスト!$A:$Z,COLUMN(),FALSE),"")</f>
        <v>0</v>
      </c>
      <c r="Y7">
        <f>IF($C7&lt;&gt;"",VLOOKUP($C7,授業リスト!$A:$Z,COLUMN(),FALSE),"")</f>
        <v>0</v>
      </c>
      <c r="Z7">
        <f>IF($C7&lt;&gt;"",VLOOKUP($C7,授業リスト!$A:$Z,COLUMN(),FALSE),"")</f>
        <v>0</v>
      </c>
    </row>
    <row r="8" spans="1:26" ht="17">
      <c r="A8" s="37">
        <v>1</v>
      </c>
      <c r="B8" s="37" t="s">
        <v>69</v>
      </c>
      <c r="C8" s="84">
        <v>37135</v>
      </c>
      <c r="D8" s="37" t="str">
        <f>IF($C8&lt;&gt;"",VLOOKUP($C8,授業リスト!$A:$J,2,FALSE),"")</f>
        <v>Korean I</v>
      </c>
      <c r="E8" s="37" t="str">
        <f>IF($C8&lt;&gt;"",VLOOKUP($C8,授業リスト!$A:$J,3,FALSE),"")</f>
        <v/>
      </c>
      <c r="F8" s="37" t="str">
        <f>IF($C8&lt;&gt;"",VLOOKUP($C8,授業リスト!$A:$J,8,FALSE),"")</f>
        <v>Johann Sebastian Bach</v>
      </c>
      <c r="G8" s="37">
        <f>IF($C8&lt;&gt;"",VLOOKUP($C8,授業リスト!$A:$J,4,FALSE),"")</f>
        <v>2</v>
      </c>
      <c r="H8" s="37" t="str">
        <f>IF($C8&lt;&gt;"",VLOOKUP($C8,授業リスト!$A:$J,5,FALSE),"")</f>
        <v>前</v>
      </c>
      <c r="I8" s="37" t="str">
        <f>IF($C8&lt;&gt;"",VLOOKUP($C8,授業リスト!$A:$J,6,FALSE),"")</f>
        <v>火</v>
      </c>
      <c r="J8" s="37">
        <f>IF($C8&lt;&gt;"",VLOOKUP($C8,授業リスト!$A:$J,7,FALSE),"")</f>
        <v>1</v>
      </c>
      <c r="K8" s="38" t="str">
        <f>IF($C8&lt;&gt;"",VLOOKUP($C8,授業リスト!$A:$J,9,FALSE),"")</f>
        <v>1～2</v>
      </c>
      <c r="N8" t="str">
        <f>IF($C8&lt;&gt;"",VLOOKUP($C8,授業リスト!$A:$Z,COLUMN(),FALSE),"")</f>
        <v>Y</v>
      </c>
      <c r="O8" t="str">
        <f>IF($C8&lt;&gt;"",VLOOKUP($C8,授業リスト!$A:$Z,COLUMN(),FALSE),"")</f>
        <v/>
      </c>
      <c r="P8" t="str">
        <f>IF($C8&lt;&gt;"",VLOOKUP($C8,授業リスト!$A:$Z,COLUMN(),FALSE),"")</f>
        <v/>
      </c>
      <c r="Q8" t="str">
        <f>IF($C8&lt;&gt;"",VLOOKUP($C8,授業リスト!$A:$Z,COLUMN(),FALSE),"")</f>
        <v/>
      </c>
      <c r="R8" t="str">
        <f>IF($C8&lt;&gt;"",VLOOKUP($C8,授業リスト!$A:$Z,COLUMN(),FALSE),"")</f>
        <v/>
      </c>
      <c r="S8" t="str">
        <f>IF($C8&lt;&gt;"",VLOOKUP($C8,授業リスト!$A:$Z,COLUMN(),FALSE),"")</f>
        <v/>
      </c>
      <c r="T8" t="str">
        <f>IF($C8&lt;&gt;"",VLOOKUP($C8,授業リスト!$A:$Z,COLUMN(),FALSE),"")</f>
        <v/>
      </c>
      <c r="U8" t="str">
        <f>IF($C8&lt;&gt;"",VLOOKUP($C8,授業リスト!$A:$Z,COLUMN(),FALSE),"")</f>
        <v/>
      </c>
      <c r="V8" t="str">
        <f>IF($C8&lt;&gt;"",VLOOKUP($C8,授業リスト!$A:$Z,COLUMN(),FALSE),"")</f>
        <v/>
      </c>
      <c r="W8">
        <f>IF($C8&lt;&gt;"",VLOOKUP($C8,授業リスト!$A:$Z,COLUMN(),FALSE),"")</f>
        <v>0</v>
      </c>
      <c r="X8">
        <f>IF($C8&lt;&gt;"",VLOOKUP($C8,授業リスト!$A:$Z,COLUMN(),FALSE),"")</f>
        <v>0</v>
      </c>
      <c r="Y8">
        <f>IF($C8&lt;&gt;"",VLOOKUP($C8,授業リスト!$A:$Z,COLUMN(),FALSE),"")</f>
        <v>0</v>
      </c>
      <c r="Z8">
        <f>IF($C8&lt;&gt;"",VLOOKUP($C8,授業リスト!$A:$Z,COLUMN(),FALSE),"")</f>
        <v>0</v>
      </c>
    </row>
    <row r="9" spans="1:26" ht="17">
      <c r="A9" s="37">
        <v>1</v>
      </c>
      <c r="B9" s="37" t="s">
        <v>69</v>
      </c>
      <c r="C9" s="84">
        <v>37456</v>
      </c>
      <c r="D9" s="37" t="str">
        <f>IF($C9&lt;&gt;"",VLOOKUP($C9,授業リスト!$A:$J,2,FALSE),"")</f>
        <v>English Communication I</v>
      </c>
      <c r="E9" s="37">
        <f>IF($C9&lt;&gt;"",VLOOKUP($C9,授業リスト!$A:$J,3,FALSE),"")</f>
        <v>0</v>
      </c>
      <c r="F9" s="37" t="str">
        <f>IF($C9&lt;&gt;"",VLOOKUP($C9,授業リスト!$A:$J,8,FALSE),"")</f>
        <v>Sir Ernest Shackleton</v>
      </c>
      <c r="G9" s="37">
        <f>IF($C9&lt;&gt;"",VLOOKUP($C9,授業リスト!$A:$J,4,FALSE),"")</f>
        <v>2</v>
      </c>
      <c r="H9" s="37" t="str">
        <f>IF($C9&lt;&gt;"",VLOOKUP($C9,授業リスト!$A:$J,5,FALSE),"")</f>
        <v>前</v>
      </c>
      <c r="I9" s="37" t="str">
        <f>IF($C9&lt;&gt;"",VLOOKUP($C9,授業リスト!$A:$J,6,FALSE),"")</f>
        <v>木</v>
      </c>
      <c r="J9" s="37">
        <f>IF($C9&lt;&gt;"",VLOOKUP($C9,授業リスト!$A:$J,7,FALSE),"")</f>
        <v>4</v>
      </c>
      <c r="K9" s="38">
        <f>IF($C9&lt;&gt;"",VLOOKUP($C9,授業リスト!$A:$J,9,FALSE),"")</f>
        <v>1</v>
      </c>
      <c r="N9" t="str">
        <f>IF($C9&lt;&gt;"",VLOOKUP($C9,授業リスト!$A:$Z,COLUMN(),FALSE),"")</f>
        <v/>
      </c>
      <c r="O9" t="str">
        <f>IF($C9&lt;&gt;"",VLOOKUP($C9,授業リスト!$A:$Z,COLUMN(),FALSE),"")</f>
        <v>Y</v>
      </c>
      <c r="P9" t="str">
        <f>IF($C9&lt;&gt;"",VLOOKUP($C9,授業リスト!$A:$Z,COLUMN(),FALSE),"")</f>
        <v/>
      </c>
      <c r="Q9" t="str">
        <f>IF($C9&lt;&gt;"",VLOOKUP($C9,授業リスト!$A:$Z,COLUMN(),FALSE),"")</f>
        <v/>
      </c>
      <c r="R9" t="str">
        <f>IF($C9&lt;&gt;"",VLOOKUP($C9,授業リスト!$A:$Z,COLUMN(),FALSE),"")</f>
        <v/>
      </c>
      <c r="S9" t="str">
        <f>IF($C9&lt;&gt;"",VLOOKUP($C9,授業リスト!$A:$Z,COLUMN(),FALSE),"")</f>
        <v/>
      </c>
      <c r="T9" t="str">
        <f>IF($C9&lt;&gt;"",VLOOKUP($C9,授業リスト!$A:$Z,COLUMN(),FALSE),"")</f>
        <v/>
      </c>
      <c r="U9" t="str">
        <f>IF($C9&lt;&gt;"",VLOOKUP($C9,授業リスト!$A:$Z,COLUMN(),FALSE),"")</f>
        <v/>
      </c>
      <c r="V9" t="str">
        <f>IF($C9&lt;&gt;"",VLOOKUP($C9,授業リスト!$A:$Z,COLUMN(),FALSE),"")</f>
        <v/>
      </c>
      <c r="W9">
        <f>IF($C9&lt;&gt;"",VLOOKUP($C9,授業リスト!$A:$Z,COLUMN(),FALSE),"")</f>
        <v>0</v>
      </c>
      <c r="X9">
        <f>IF($C9&lt;&gt;"",VLOOKUP($C9,授業リスト!$A:$Z,COLUMN(),FALSE),"")</f>
        <v>0</v>
      </c>
      <c r="Y9">
        <f>IF($C9&lt;&gt;"",VLOOKUP($C9,授業リスト!$A:$Z,COLUMN(),FALSE),"")</f>
        <v>0</v>
      </c>
      <c r="Z9">
        <f>IF($C9&lt;&gt;"",VLOOKUP($C9,授業リスト!$A:$Z,COLUMN(),FALSE),"")</f>
        <v>0</v>
      </c>
    </row>
    <row r="10" spans="1:26" ht="17">
      <c r="A10" s="37">
        <v>1</v>
      </c>
      <c r="B10" s="37" t="s">
        <v>69</v>
      </c>
      <c r="C10" s="85">
        <v>38102</v>
      </c>
      <c r="D10" s="37" t="str">
        <f>IF($C10&lt;&gt;"",VLOOKUP($C10,授業リスト!$A:$J,2,FALSE),"")</f>
        <v>School Education Practice and Reflection I</v>
      </c>
      <c r="E10" s="37">
        <f>IF($C10&lt;&gt;"",VLOOKUP($C10,授業リスト!$A:$J,3,FALSE),"")</f>
        <v>0</v>
      </c>
      <c r="F10" s="37" t="str">
        <f>IF($C10&lt;&gt;"",VLOOKUP($C10,授業リスト!$A:$J,8,FALSE),"")</f>
        <v>Johann Wolfgang von Goethe</v>
      </c>
      <c r="G10" s="37">
        <f>IF($C10&lt;&gt;"",VLOOKUP($C10,授業リスト!$A:$J,4,FALSE),"")</f>
        <v>2</v>
      </c>
      <c r="H10" s="37" t="str">
        <f>IF($C10&lt;&gt;"",VLOOKUP($C10,授業リスト!$A:$J,5,FALSE),"")</f>
        <v>通年</v>
      </c>
      <c r="I10" s="37" t="str">
        <f>IF($C10&lt;&gt;"",VLOOKUP($C10,授業リスト!$A:$J,6,FALSE),"")</f>
        <v>金</v>
      </c>
      <c r="J10" s="37" t="str">
        <f>IF($C10&lt;&gt;"",VLOOKUP($C10,授業リスト!$A:$J,7,FALSE),"")</f>
        <v>1-2</v>
      </c>
      <c r="K10" s="38">
        <f>IF($C10&lt;&gt;"",VLOOKUP($C10,授業リスト!$A:$J,9,FALSE),"")</f>
        <v>1</v>
      </c>
      <c r="N10" t="str">
        <f>IF($C10&lt;&gt;"",VLOOKUP($C10,授業リスト!$A:$Z,COLUMN(),FALSE),"")</f>
        <v/>
      </c>
      <c r="O10" t="str">
        <f>IF($C10&lt;&gt;"",VLOOKUP($C10,授業リスト!$A:$Z,COLUMN(),FALSE),"")</f>
        <v/>
      </c>
      <c r="P10" t="str">
        <f>IF($C10&lt;&gt;"",VLOOKUP($C10,授業リスト!$A:$Z,COLUMN(),FALSE),"")</f>
        <v>Y</v>
      </c>
      <c r="Q10" t="str">
        <f>IF($C10&lt;&gt;"",VLOOKUP($C10,授業リスト!$A:$Z,COLUMN(),FALSE),"")</f>
        <v/>
      </c>
      <c r="R10" t="str">
        <f>IF($C10&lt;&gt;"",VLOOKUP($C10,授業リスト!$A:$Z,COLUMN(),FALSE),"")</f>
        <v>Y</v>
      </c>
      <c r="S10" t="str">
        <f>IF($C10&lt;&gt;"",VLOOKUP($C10,授業リスト!$A:$Z,COLUMN(),FALSE),"")</f>
        <v/>
      </c>
      <c r="T10" t="str">
        <f>IF($C10&lt;&gt;"",VLOOKUP($C10,授業リスト!$A:$Z,COLUMN(),FALSE),"")</f>
        <v/>
      </c>
      <c r="U10" t="str">
        <f>IF($C10&lt;&gt;"",VLOOKUP($C10,授業リスト!$A:$Z,COLUMN(),FALSE),"")</f>
        <v/>
      </c>
      <c r="V10" t="str">
        <f>IF($C10&lt;&gt;"",VLOOKUP($C10,授業リスト!$A:$Z,COLUMN(),FALSE),"")</f>
        <v/>
      </c>
      <c r="W10">
        <f>IF($C10&lt;&gt;"",VLOOKUP($C10,授業リスト!$A:$Z,COLUMN(),FALSE),"")</f>
        <v>0</v>
      </c>
      <c r="X10">
        <f>IF($C10&lt;&gt;"",VLOOKUP($C10,授業リスト!$A:$Z,COLUMN(),FALSE),"")</f>
        <v>0</v>
      </c>
      <c r="Y10">
        <f>IF($C10&lt;&gt;"",VLOOKUP($C10,授業リスト!$A:$Z,COLUMN(),FALSE),"")</f>
        <v>0</v>
      </c>
      <c r="Z10">
        <f>IF($C10&lt;&gt;"",VLOOKUP($C10,授業リスト!$A:$Z,COLUMN(),FALSE),"")</f>
        <v>0</v>
      </c>
    </row>
    <row r="11" spans="1:26" ht="17">
      <c r="A11" s="37">
        <v>1</v>
      </c>
      <c r="B11" s="37" t="s">
        <v>69</v>
      </c>
      <c r="C11" s="84">
        <v>37234</v>
      </c>
      <c r="D11" s="37" t="str">
        <f>IF($C11&lt;&gt;"",VLOOKUP($C11,授業リスト!$A:$J,2,FALSE),"")</f>
        <v>Pedagogy</v>
      </c>
      <c r="E11" s="37">
        <f>IF($C11&lt;&gt;"",VLOOKUP($C11,授業リスト!$A:$J,3,FALSE),"")</f>
        <v>0</v>
      </c>
      <c r="F11" s="37" t="str">
        <f>IF($C11&lt;&gt;"",VLOOKUP($C11,授業リスト!$A:$J,8,FALSE),"")</f>
        <v>Charles Dickens</v>
      </c>
      <c r="G11" s="37">
        <f>IF($C11&lt;&gt;"",VLOOKUP($C11,授業リスト!$A:$J,4,FALSE),"")</f>
        <v>2</v>
      </c>
      <c r="H11" s="37" t="str">
        <f>IF($C11&lt;&gt;"",VLOOKUP($C11,授業リスト!$A:$J,5,FALSE),"")</f>
        <v>前</v>
      </c>
      <c r="I11" s="37" t="str">
        <f>IF($C11&lt;&gt;"",VLOOKUP($C11,授業リスト!$A:$J,6,FALSE),"")</f>
        <v>木</v>
      </c>
      <c r="J11" s="37">
        <f>IF($C11&lt;&gt;"",VLOOKUP($C11,授業リスト!$A:$J,7,FALSE),"")</f>
        <v>3</v>
      </c>
      <c r="K11" s="38">
        <f>IF($C11&lt;&gt;"",VLOOKUP($C11,授業リスト!$A:$J,9,FALSE),"")</f>
        <v>1</v>
      </c>
      <c r="N11" t="str">
        <f>IF($C11&lt;&gt;"",VLOOKUP($C11,授業リスト!$A:$Z,COLUMN(),FALSE),"")</f>
        <v/>
      </c>
      <c r="O11" t="str">
        <f>IF($C11&lt;&gt;"",VLOOKUP($C11,授業リスト!$A:$Z,COLUMN(),FALSE),"")</f>
        <v/>
      </c>
      <c r="P11" t="str">
        <f>IF($C11&lt;&gt;"",VLOOKUP($C11,授業リスト!$A:$Z,COLUMN(),FALSE),"")</f>
        <v>Y</v>
      </c>
      <c r="Q11" t="str">
        <f>IF($C11&lt;&gt;"",VLOOKUP($C11,授業リスト!$A:$Z,COLUMN(),FALSE),"")</f>
        <v>Y</v>
      </c>
      <c r="R11" t="str">
        <f>IF($C11&lt;&gt;"",VLOOKUP($C11,授業リスト!$A:$Z,COLUMN(),FALSE),"")</f>
        <v/>
      </c>
      <c r="S11" t="str">
        <f>IF($C11&lt;&gt;"",VLOOKUP($C11,授業リスト!$A:$Z,COLUMN(),FALSE),"")</f>
        <v/>
      </c>
      <c r="T11" t="str">
        <f>IF($C11&lt;&gt;"",VLOOKUP($C11,授業リスト!$A:$Z,COLUMN(),FALSE),"")</f>
        <v/>
      </c>
      <c r="U11" t="str">
        <f>IF($C11&lt;&gt;"",VLOOKUP($C11,授業リスト!$A:$Z,COLUMN(),FALSE),"")</f>
        <v/>
      </c>
      <c r="V11" t="str">
        <f>IF($C11&lt;&gt;"",VLOOKUP($C11,授業リスト!$A:$Z,COLUMN(),FALSE),"")</f>
        <v/>
      </c>
      <c r="W11">
        <f>IF($C11&lt;&gt;"",VLOOKUP($C11,授業リスト!$A:$Z,COLUMN(),FALSE),"")</f>
        <v>0</v>
      </c>
      <c r="X11">
        <f>IF($C11&lt;&gt;"",VLOOKUP($C11,授業リスト!$A:$Z,COLUMN(),FALSE),"")</f>
        <v>0</v>
      </c>
      <c r="Y11">
        <f>IF($C11&lt;&gt;"",VLOOKUP($C11,授業リスト!$A:$Z,COLUMN(),FALSE),"")</f>
        <v>0</v>
      </c>
      <c r="Z11">
        <f>IF($C11&lt;&gt;"",VLOOKUP($C11,授業リスト!$A:$Z,COLUMN(),FALSE),"")</f>
        <v>0</v>
      </c>
    </row>
    <row r="12" spans="1:26" ht="17">
      <c r="A12" s="37">
        <v>1</v>
      </c>
      <c r="B12" s="37" t="s">
        <v>69</v>
      </c>
      <c r="C12" s="84">
        <v>37453</v>
      </c>
      <c r="D12" s="37" t="str">
        <f>IF($C12&lt;&gt;"",VLOOKUP($C12,授業リスト!$A:$J,2,FALSE),"")</f>
        <v>Introduction to English Literature I</v>
      </c>
      <c r="E12" s="37" t="str">
        <f>IF($C12&lt;&gt;"",VLOOKUP($C12,授業リスト!$A:$J,3,FALSE),"")</f>
        <v/>
      </c>
      <c r="F12" s="37" t="str">
        <f>IF($C12&lt;&gt;"",VLOOKUP($C12,授業リスト!$A:$J,8,FALSE),"")</f>
        <v>Wolfgang Amadeus Mozart</v>
      </c>
      <c r="G12" s="37">
        <f>IF($C12&lt;&gt;"",VLOOKUP($C12,授業リスト!$A:$J,4,FALSE),"")</f>
        <v>2</v>
      </c>
      <c r="H12" s="37" t="str">
        <f>IF($C12&lt;&gt;"",VLOOKUP($C12,授業リスト!$A:$J,5,FALSE),"")</f>
        <v>前</v>
      </c>
      <c r="I12" s="37" t="str">
        <f>IF($C12&lt;&gt;"",VLOOKUP($C12,授業リスト!$A:$J,6,FALSE),"")</f>
        <v>水</v>
      </c>
      <c r="J12" s="37">
        <f>IF($C12&lt;&gt;"",VLOOKUP($C12,授業リスト!$A:$J,7,FALSE),"")</f>
        <v>4</v>
      </c>
      <c r="K12" s="38">
        <f>IF($C12&lt;&gt;"",VLOOKUP($C12,授業リスト!$A:$J,9,FALSE),"")</f>
        <v>1</v>
      </c>
      <c r="N12" t="str">
        <f>IF($C12&lt;&gt;"",VLOOKUP($C12,授業リスト!$A:$Z,COLUMN(),FALSE),"")</f>
        <v/>
      </c>
      <c r="O12" t="str">
        <f>IF($C12&lt;&gt;"",VLOOKUP($C12,授業リスト!$A:$Z,COLUMN(),FALSE),"")</f>
        <v>Y</v>
      </c>
      <c r="P12" t="str">
        <f>IF($C12&lt;&gt;"",VLOOKUP($C12,授業リスト!$A:$Z,COLUMN(),FALSE),"")</f>
        <v/>
      </c>
      <c r="Q12" t="str">
        <f>IF($C12&lt;&gt;"",VLOOKUP($C12,授業リスト!$A:$Z,COLUMN(),FALSE),"")</f>
        <v/>
      </c>
      <c r="R12" t="str">
        <f>IF($C12&lt;&gt;"",VLOOKUP($C12,授業リスト!$A:$Z,COLUMN(),FALSE),"")</f>
        <v/>
      </c>
      <c r="S12" t="str">
        <f>IF($C12&lt;&gt;"",VLOOKUP($C12,授業リスト!$A:$Z,COLUMN(),FALSE),"")</f>
        <v/>
      </c>
      <c r="T12" t="str">
        <f>IF($C12&lt;&gt;"",VLOOKUP($C12,授業リスト!$A:$Z,COLUMN(),FALSE),"")</f>
        <v/>
      </c>
      <c r="U12" t="str">
        <f>IF($C12&lt;&gt;"",VLOOKUP($C12,授業リスト!$A:$Z,COLUMN(),FALSE),"")</f>
        <v/>
      </c>
      <c r="V12" t="str">
        <f>IF($C12&lt;&gt;"",VLOOKUP($C12,授業リスト!$A:$Z,COLUMN(),FALSE),"")</f>
        <v/>
      </c>
      <c r="W12">
        <f>IF($C12&lt;&gt;"",VLOOKUP($C12,授業リスト!$A:$Z,COLUMN(),FALSE),"")</f>
        <v>0</v>
      </c>
      <c r="X12">
        <f>IF($C12&lt;&gt;"",VLOOKUP($C12,授業リスト!$A:$Z,COLUMN(),FALSE),"")</f>
        <v>0</v>
      </c>
      <c r="Y12">
        <f>IF($C12&lt;&gt;"",VLOOKUP($C12,授業リスト!$A:$Z,COLUMN(),FALSE),"")</f>
        <v>0</v>
      </c>
      <c r="Z12">
        <f>IF($C12&lt;&gt;"",VLOOKUP($C12,授業リスト!$A:$Z,COLUMN(),FALSE),"")</f>
        <v>0</v>
      </c>
    </row>
    <row r="13" spans="1:26" ht="17">
      <c r="A13" s="37">
        <v>1</v>
      </c>
      <c r="B13" s="37" t="s">
        <v>69</v>
      </c>
      <c r="C13" s="85">
        <v>83001</v>
      </c>
      <c r="D13" s="37" t="str">
        <f>IF($C13&lt;&gt;"",VLOOKUP($C13,授業リスト!$A:$J,2,FALSE),"")</f>
        <v>Independent Study</v>
      </c>
      <c r="E13" s="37">
        <f>IF($C13&lt;&gt;"",VLOOKUP($C13,授業リスト!$A:$J,3,FALSE),"")</f>
        <v>0</v>
      </c>
      <c r="F13" s="37" t="str">
        <f>IF($C13&lt;&gt;"",VLOOKUP($C13,授業リスト!$A:$J,8,FALSE),"")</f>
        <v>Marie Antoinette</v>
      </c>
      <c r="G13" s="37">
        <f>IF($C13&lt;&gt;"",VLOOKUP($C13,授業リスト!$A:$J,4,FALSE),"")</f>
        <v>0</v>
      </c>
      <c r="H13" s="37" t="str">
        <f>IF($C13&lt;&gt;"",VLOOKUP($C13,授業リスト!$A:$J,5,FALSE),"")</f>
        <v>前</v>
      </c>
      <c r="I13" s="37" t="str">
        <f>IF($C13&lt;&gt;"",VLOOKUP($C13,授業リスト!$A:$J,6,FALSE),"")</f>
        <v>集中</v>
      </c>
      <c r="J13" s="37">
        <f>IF($C13&lt;&gt;"",VLOOKUP($C13,授業リスト!$A:$J,7,FALSE),"")</f>
        <v>0</v>
      </c>
      <c r="K13" s="38">
        <f>IF($C13&lt;&gt;"",VLOOKUP($C13,授業リスト!$A:$J,9,FALSE),"")</f>
        <v>1</v>
      </c>
      <c r="N13">
        <f>IF($C13&lt;&gt;"",VLOOKUP($C13,授業リスト!$A:$Z,COLUMN(),FALSE),"")</f>
        <v>0</v>
      </c>
      <c r="O13">
        <f>IF($C13&lt;&gt;"",VLOOKUP($C13,授業リスト!$A:$Z,COLUMN(),FALSE),"")</f>
        <v>0</v>
      </c>
      <c r="P13">
        <f>IF($C13&lt;&gt;"",VLOOKUP($C13,授業リスト!$A:$Z,COLUMN(),FALSE),"")</f>
        <v>0</v>
      </c>
      <c r="Q13">
        <f>IF($C13&lt;&gt;"",VLOOKUP($C13,授業リスト!$A:$Z,COLUMN(),FALSE),"")</f>
        <v>0</v>
      </c>
      <c r="R13">
        <f>IF($C13&lt;&gt;"",VLOOKUP($C13,授業リスト!$A:$Z,COLUMN(),FALSE),"")</f>
        <v>0</v>
      </c>
      <c r="S13">
        <f>IF($C13&lt;&gt;"",VLOOKUP($C13,授業リスト!$A:$Z,COLUMN(),FALSE),"")</f>
        <v>0</v>
      </c>
      <c r="T13">
        <f>IF($C13&lt;&gt;"",VLOOKUP($C13,授業リスト!$A:$Z,COLUMN(),FALSE),"")</f>
        <v>0</v>
      </c>
      <c r="U13">
        <f>IF($C13&lt;&gt;"",VLOOKUP($C13,授業リスト!$A:$Z,COLUMN(),FALSE),"")</f>
        <v>0</v>
      </c>
      <c r="V13">
        <f>IF($C13&lt;&gt;"",VLOOKUP($C13,授業リスト!$A:$Z,COLUMN(),FALSE),"")</f>
        <v>0</v>
      </c>
      <c r="W13">
        <f>IF($C13&lt;&gt;"",VLOOKUP($C13,授業リスト!$A:$Z,COLUMN(),FALSE),"")</f>
        <v>0</v>
      </c>
      <c r="X13">
        <f>IF($C13&lt;&gt;"",VLOOKUP($C13,授業リスト!$A:$Z,COLUMN(),FALSE),"")</f>
        <v>0</v>
      </c>
      <c r="Y13">
        <f>IF($C13&lt;&gt;"",VLOOKUP($C13,授業リスト!$A:$Z,COLUMN(),FALSE),"")</f>
        <v>0</v>
      </c>
      <c r="Z13">
        <f>IF($C13&lt;&gt;"",VLOOKUP($C13,授業リスト!$A:$Z,COLUMN(),FALSE),"")</f>
        <v>0</v>
      </c>
    </row>
    <row r="14" spans="1:26" ht="17">
      <c r="A14" s="37">
        <v>1</v>
      </c>
      <c r="B14" s="37" t="s">
        <v>69</v>
      </c>
      <c r="C14" s="84">
        <v>38073</v>
      </c>
      <c r="D14" s="37" t="str">
        <f>IF($C14&lt;&gt;"",VLOOKUP($C14,授業リスト!$A:$J,2,FALSE),"")</f>
        <v>Presentation</v>
      </c>
      <c r="E14" s="37">
        <f>IF($C14&lt;&gt;"",VLOOKUP($C14,授業リスト!$A:$J,3,FALSE),"")</f>
        <v>0</v>
      </c>
      <c r="F14" s="37" t="str">
        <f>IF($C14&lt;&gt;"",VLOOKUP($C14,授業リスト!$A:$J,8,FALSE),"")</f>
        <v>Emily Brontë</v>
      </c>
      <c r="G14" s="37">
        <f>IF($C14&lt;&gt;"",VLOOKUP($C14,授業リスト!$A:$J,4,FALSE),"")</f>
        <v>2</v>
      </c>
      <c r="H14" s="37" t="str">
        <f>IF($C14&lt;&gt;"",VLOOKUP($C14,授業リスト!$A:$J,5,FALSE),"")</f>
        <v>前</v>
      </c>
      <c r="I14" s="37" t="str">
        <f>IF($C14&lt;&gt;"",VLOOKUP($C14,授業リスト!$A:$J,6,FALSE),"")</f>
        <v>火</v>
      </c>
      <c r="J14" s="37">
        <f>IF($C14&lt;&gt;"",VLOOKUP($C14,授業リスト!$A:$J,7,FALSE),"")</f>
        <v>4</v>
      </c>
      <c r="K14" s="38" t="str">
        <f>IF($C14&lt;&gt;"",VLOOKUP($C14,授業リスト!$A:$J,9,FALSE),"")</f>
        <v>1～4</v>
      </c>
      <c r="N14" t="str">
        <f>IF($C14&lt;&gt;"",VLOOKUP($C14,授業リスト!$A:$Z,COLUMN(),FALSE),"")</f>
        <v/>
      </c>
      <c r="O14" t="str">
        <f>IF($C14&lt;&gt;"",VLOOKUP($C14,授業リスト!$A:$Z,COLUMN(),FALSE),"")</f>
        <v/>
      </c>
      <c r="P14" t="str">
        <f>IF($C14&lt;&gt;"",VLOOKUP($C14,授業リスト!$A:$Z,COLUMN(),FALSE),"")</f>
        <v/>
      </c>
      <c r="Q14" t="str">
        <f>IF($C14&lt;&gt;"",VLOOKUP($C14,授業リスト!$A:$Z,COLUMN(),FALSE),"")</f>
        <v/>
      </c>
      <c r="R14" t="str">
        <f>IF($C14&lt;&gt;"",VLOOKUP($C14,授業リスト!$A:$Z,COLUMN(),FALSE),"")</f>
        <v/>
      </c>
      <c r="S14" t="str">
        <f>IF($C14&lt;&gt;"",VLOOKUP($C14,授業リスト!$A:$Z,COLUMN(),FALSE),"")</f>
        <v/>
      </c>
      <c r="T14" t="str">
        <f>IF($C14&lt;&gt;"",VLOOKUP($C14,授業リスト!$A:$Z,COLUMN(),FALSE),"")</f>
        <v/>
      </c>
      <c r="U14" t="str">
        <f>IF($C14&lt;&gt;"",VLOOKUP($C14,授業リスト!$A:$Z,COLUMN(),FALSE),"")</f>
        <v/>
      </c>
      <c r="V14" t="str">
        <f>IF($C14&lt;&gt;"",VLOOKUP($C14,授業リスト!$A:$Z,COLUMN(),FALSE),"")</f>
        <v/>
      </c>
      <c r="W14">
        <f>IF($C14&lt;&gt;"",VLOOKUP($C14,授業リスト!$A:$Z,COLUMN(),FALSE),"")</f>
        <v>0</v>
      </c>
      <c r="X14">
        <f>IF($C14&lt;&gt;"",VLOOKUP($C14,授業リスト!$A:$Z,COLUMN(),FALSE),"")</f>
        <v>0</v>
      </c>
      <c r="Y14">
        <f>IF($C14&lt;&gt;"",VLOOKUP($C14,授業リスト!$A:$Z,COLUMN(),FALSE),"")</f>
        <v>0</v>
      </c>
      <c r="Z14">
        <f>IF($C14&lt;&gt;"",VLOOKUP($C14,授業リスト!$A:$Z,COLUMN(),FALSE),"")</f>
        <v>0</v>
      </c>
    </row>
    <row r="15" spans="1:26" ht="17">
      <c r="A15" s="37">
        <v>1</v>
      </c>
      <c r="B15" s="37" t="s">
        <v>69</v>
      </c>
      <c r="C15" s="84">
        <v>38074</v>
      </c>
      <c r="D15" s="37" t="str">
        <f>IF($C15&lt;&gt;"",VLOOKUP($C15,授業リスト!$A:$J,2,FALSE),"")</f>
        <v>Business Communication &amp; IT</v>
      </c>
      <c r="E15" s="37">
        <f>IF($C15&lt;&gt;"",VLOOKUP($C15,授業リスト!$A:$J,3,FALSE),"")</f>
        <v>0</v>
      </c>
      <c r="F15" s="37" t="str">
        <f>IF($C15&lt;&gt;"",VLOOKUP($C15,授業リスト!$A:$J,8,FALSE),"")</f>
        <v>Leonardo da Vinci</v>
      </c>
      <c r="G15" s="37">
        <f>IF($C15&lt;&gt;"",VLOOKUP($C15,授業リスト!$A:$J,4,FALSE),"")</f>
        <v>2</v>
      </c>
      <c r="H15" s="37" t="str">
        <f>IF($C15&lt;&gt;"",VLOOKUP($C15,授業リスト!$A:$J,5,FALSE),"")</f>
        <v>前</v>
      </c>
      <c r="I15" s="37" t="str">
        <f>IF($C15&lt;&gt;"",VLOOKUP($C15,授業リスト!$A:$J,6,FALSE),"")</f>
        <v>月</v>
      </c>
      <c r="J15" s="37">
        <f>IF($C15&lt;&gt;"",VLOOKUP($C15,授業リスト!$A:$J,7,FALSE),"")</f>
        <v>4</v>
      </c>
      <c r="K15" s="38" t="str">
        <f>IF($C15&lt;&gt;"",VLOOKUP($C15,授業リスト!$A:$J,9,FALSE),"")</f>
        <v>1～4</v>
      </c>
      <c r="N15" t="str">
        <f>IF($C15&lt;&gt;"",VLOOKUP($C15,授業リスト!$A:$Z,COLUMN(),FALSE),"")</f>
        <v/>
      </c>
      <c r="O15" t="str">
        <f>IF($C15&lt;&gt;"",VLOOKUP($C15,授業リスト!$A:$Z,COLUMN(),FALSE),"")</f>
        <v/>
      </c>
      <c r="P15" t="str">
        <f>IF($C15&lt;&gt;"",VLOOKUP($C15,授業リスト!$A:$Z,COLUMN(),FALSE),"")</f>
        <v/>
      </c>
      <c r="Q15" t="str">
        <f>IF($C15&lt;&gt;"",VLOOKUP($C15,授業リスト!$A:$Z,COLUMN(),FALSE),"")</f>
        <v/>
      </c>
      <c r="R15" t="str">
        <f>IF($C15&lt;&gt;"",VLOOKUP($C15,授業リスト!$A:$Z,COLUMN(),FALSE),"")</f>
        <v/>
      </c>
      <c r="S15" t="str">
        <f>IF($C15&lt;&gt;"",VLOOKUP($C15,授業リスト!$A:$Z,COLUMN(),FALSE),"")</f>
        <v/>
      </c>
      <c r="T15" t="str">
        <f>IF($C15&lt;&gt;"",VLOOKUP($C15,授業リスト!$A:$Z,COLUMN(),FALSE),"")</f>
        <v/>
      </c>
      <c r="U15" t="str">
        <f>IF($C15&lt;&gt;"",VLOOKUP($C15,授業リスト!$A:$Z,COLUMN(),FALSE),"")</f>
        <v/>
      </c>
      <c r="V15" t="str">
        <f>IF($C15&lt;&gt;"",VLOOKUP($C15,授業リスト!$A:$Z,COLUMN(),FALSE),"")</f>
        <v/>
      </c>
      <c r="W15">
        <f>IF($C15&lt;&gt;"",VLOOKUP($C15,授業リスト!$A:$Z,COLUMN(),FALSE),"")</f>
        <v>0</v>
      </c>
      <c r="X15">
        <f>IF($C15&lt;&gt;"",VLOOKUP($C15,授業リスト!$A:$Z,COLUMN(),FALSE),"")</f>
        <v>0</v>
      </c>
      <c r="Y15">
        <f>IF($C15&lt;&gt;"",VLOOKUP($C15,授業リスト!$A:$Z,COLUMN(),FALSE),"")</f>
        <v>0</v>
      </c>
      <c r="Z15">
        <f>IF($C15&lt;&gt;"",VLOOKUP($C15,授業リスト!$A:$Z,COLUMN(),FALSE),"")</f>
        <v>0</v>
      </c>
    </row>
    <row r="16" spans="1:26" ht="17">
      <c r="A16" s="37">
        <v>1</v>
      </c>
      <c r="B16" s="37" t="s">
        <v>69</v>
      </c>
      <c r="C16" s="85">
        <v>37494</v>
      </c>
      <c r="D16" s="37" t="str">
        <f>IF($C16&lt;&gt;"",VLOOKUP($C16,授業リスト!$A:$J,2,FALSE),"")</f>
        <v>Independent Study</v>
      </c>
      <c r="E16" s="37">
        <f>IF($C16&lt;&gt;"",VLOOKUP($C16,授業リスト!$A:$J,3,FALSE),"")</f>
        <v>0</v>
      </c>
      <c r="F16" s="37" t="str">
        <f>IF($C16&lt;&gt;"",VLOOKUP($C16,授業リスト!$A:$J,8,FALSE),"")</f>
        <v>Emily Brontë</v>
      </c>
      <c r="G16" s="37">
        <f>IF($C16&lt;&gt;"",VLOOKUP($C16,授業リスト!$A:$J,4,FALSE),"")</f>
        <v>1</v>
      </c>
      <c r="H16" s="37" t="str">
        <f>IF($C16&lt;&gt;"",VLOOKUP($C16,授業リスト!$A:$J,5,FALSE),"")</f>
        <v>前</v>
      </c>
      <c r="I16" s="37" t="str">
        <f>IF($C16&lt;&gt;"",VLOOKUP($C16,授業リスト!$A:$J,6,FALSE),"")</f>
        <v>火</v>
      </c>
      <c r="J16" s="37">
        <f>IF($C16&lt;&gt;"",VLOOKUP($C16,授業リスト!$A:$J,7,FALSE),"")</f>
        <v>5</v>
      </c>
      <c r="K16" s="38">
        <f>IF($C16&lt;&gt;"",VLOOKUP($C16,授業リスト!$A:$J,9,FALSE),"")</f>
        <v>1</v>
      </c>
      <c r="N16" t="str">
        <f>IF($C16&lt;&gt;"",VLOOKUP($C16,授業リスト!$A:$Z,COLUMN(),FALSE),"")</f>
        <v/>
      </c>
      <c r="O16" t="str">
        <f>IF($C16&lt;&gt;"",VLOOKUP($C16,授業リスト!$A:$Z,COLUMN(),FALSE),"")</f>
        <v>Y</v>
      </c>
      <c r="P16" t="str">
        <f>IF($C16&lt;&gt;"",VLOOKUP($C16,授業リスト!$A:$Z,COLUMN(),FALSE),"")</f>
        <v/>
      </c>
      <c r="Q16" t="str">
        <f>IF($C16&lt;&gt;"",VLOOKUP($C16,授業リスト!$A:$Z,COLUMN(),FALSE),"")</f>
        <v/>
      </c>
      <c r="R16" t="str">
        <f>IF($C16&lt;&gt;"",VLOOKUP($C16,授業リスト!$A:$Z,COLUMN(),FALSE),"")</f>
        <v/>
      </c>
      <c r="S16" t="str">
        <f>IF($C16&lt;&gt;"",VLOOKUP($C16,授業リスト!$A:$Z,COLUMN(),FALSE),"")</f>
        <v/>
      </c>
      <c r="T16" t="str">
        <f>IF($C16&lt;&gt;"",VLOOKUP($C16,授業リスト!$A:$Z,COLUMN(),FALSE),"")</f>
        <v/>
      </c>
      <c r="U16" t="str">
        <f>IF($C16&lt;&gt;"",VLOOKUP($C16,授業リスト!$A:$Z,COLUMN(),FALSE),"")</f>
        <v/>
      </c>
      <c r="V16" t="str">
        <f>IF($C16&lt;&gt;"",VLOOKUP($C16,授業リスト!$A:$Z,COLUMN(),FALSE),"")</f>
        <v/>
      </c>
      <c r="W16">
        <f>IF($C16&lt;&gt;"",VLOOKUP($C16,授業リスト!$A:$Z,COLUMN(),FALSE),"")</f>
        <v>0</v>
      </c>
      <c r="X16">
        <f>IF($C16&lt;&gt;"",VLOOKUP($C16,授業リスト!$A:$Z,COLUMN(),FALSE),"")</f>
        <v>0</v>
      </c>
      <c r="Y16">
        <f>IF($C16&lt;&gt;"",VLOOKUP($C16,授業リスト!$A:$Z,COLUMN(),FALSE),"")</f>
        <v>0</v>
      </c>
      <c r="Z16">
        <f>IF($C16&lt;&gt;"",VLOOKUP($C16,授業リスト!$A:$Z,COLUMN(),FALSE),"")</f>
        <v>0</v>
      </c>
    </row>
    <row r="17" spans="1:26" ht="17">
      <c r="A17" s="37">
        <v>1</v>
      </c>
      <c r="B17" s="37" t="s">
        <v>69</v>
      </c>
      <c r="C17" s="85">
        <v>38045</v>
      </c>
      <c r="D17" s="37" t="str">
        <f>IF($C17&lt;&gt;"",VLOOKUP($C17,授業リスト!$A:$J,2,FALSE),"")</f>
        <v>Ethics and Human Rights</v>
      </c>
      <c r="E17" s="37" t="str">
        <f>IF($C17&lt;&gt;"",VLOOKUP($C17,授業リスト!$A:$J,3,FALSE),"")</f>
        <v>C</v>
      </c>
      <c r="F17" s="37" t="str">
        <f>IF($C17&lt;&gt;"",VLOOKUP($C17,授業リスト!$A:$J,8,FALSE),"")</f>
        <v>Marie Louise</v>
      </c>
      <c r="G17" s="37">
        <f>IF($C17&lt;&gt;"",VLOOKUP($C17,授業リスト!$A:$J,4,FALSE),"")</f>
        <v>2</v>
      </c>
      <c r="H17" s="37" t="str">
        <f>IF($C17&lt;&gt;"",VLOOKUP($C17,授業リスト!$A:$J,5,FALSE),"")</f>
        <v>前</v>
      </c>
      <c r="I17" s="37" t="str">
        <f>IF($C17&lt;&gt;"",VLOOKUP($C17,授業リスト!$A:$J,6,FALSE),"")</f>
        <v>木</v>
      </c>
      <c r="J17" s="37">
        <f>IF($C17&lt;&gt;"",VLOOKUP($C17,授業リスト!$A:$J,7,FALSE),"")</f>
        <v>1</v>
      </c>
      <c r="K17" s="38">
        <f>IF($C17&lt;&gt;"",VLOOKUP($C17,授業リスト!$A:$J,9,FALSE),"")</f>
        <v>1</v>
      </c>
      <c r="N17" t="str">
        <f>IF($C17&lt;&gt;"",VLOOKUP($C17,授業リスト!$A:$Z,COLUMN(),FALSE),"")</f>
        <v>Y</v>
      </c>
      <c r="O17" t="str">
        <f>IF($C17&lt;&gt;"",VLOOKUP($C17,授業リスト!$A:$Z,COLUMN(),FALSE),"")</f>
        <v/>
      </c>
      <c r="P17" t="str">
        <f>IF($C17&lt;&gt;"",VLOOKUP($C17,授業リスト!$A:$Z,COLUMN(),FALSE),"")</f>
        <v/>
      </c>
      <c r="Q17" t="str">
        <f>IF($C17&lt;&gt;"",VLOOKUP($C17,授業リスト!$A:$Z,COLUMN(),FALSE),"")</f>
        <v/>
      </c>
      <c r="R17" t="str">
        <f>IF($C17&lt;&gt;"",VLOOKUP($C17,授業リスト!$A:$Z,COLUMN(),FALSE),"")</f>
        <v/>
      </c>
      <c r="S17" t="str">
        <f>IF($C17&lt;&gt;"",VLOOKUP($C17,授業リスト!$A:$Z,COLUMN(),FALSE),"")</f>
        <v/>
      </c>
      <c r="T17" t="str">
        <f>IF($C17&lt;&gt;"",VLOOKUP($C17,授業リスト!$A:$Z,COLUMN(),FALSE),"")</f>
        <v/>
      </c>
      <c r="U17" t="str">
        <f>IF($C17&lt;&gt;"",VLOOKUP($C17,授業リスト!$A:$Z,COLUMN(),FALSE),"")</f>
        <v/>
      </c>
      <c r="V17" t="str">
        <f>IF($C17&lt;&gt;"",VLOOKUP($C17,授業リスト!$A:$Z,COLUMN(),FALSE),"")</f>
        <v/>
      </c>
      <c r="W17">
        <f>IF($C17&lt;&gt;"",VLOOKUP($C17,授業リスト!$A:$Z,COLUMN(),FALSE),"")</f>
        <v>0</v>
      </c>
      <c r="X17">
        <f>IF($C17&lt;&gt;"",VLOOKUP($C17,授業リスト!$A:$Z,COLUMN(),FALSE),"")</f>
        <v>0</v>
      </c>
      <c r="Y17">
        <f>IF($C17&lt;&gt;"",VLOOKUP($C17,授業リスト!$A:$Z,COLUMN(),FALSE),"")</f>
        <v>0</v>
      </c>
      <c r="Z17">
        <f>IF($C17&lt;&gt;"",VLOOKUP($C17,授業リスト!$A:$Z,COLUMN(),FALSE),"")</f>
        <v>0</v>
      </c>
    </row>
    <row r="18" spans="1:26" ht="17">
      <c r="A18">
        <v>1</v>
      </c>
      <c r="B18" t="s">
        <v>47</v>
      </c>
      <c r="C18" s="87">
        <v>37014</v>
      </c>
      <c r="D18" s="32" t="str">
        <f>IF($C18&lt;&gt;"",VLOOKUP($C18,授業リスト!$A:$J,2,FALSE),"")</f>
        <v>Sport and Wellness II</v>
      </c>
      <c r="E18" s="32" t="str">
        <f>IF($C18&lt;&gt;"",VLOOKUP($C18,授業リスト!$A:$J,3,FALSE),"")</f>
        <v>CH3</v>
      </c>
      <c r="F18" s="32" t="str">
        <f>IF($C18&lt;&gt;"",VLOOKUP($C18,授業リスト!$A:$J,8,FALSE),"")</f>
        <v>Roald Amundsen</v>
      </c>
      <c r="G18" s="32">
        <f>IF($C18&lt;&gt;"",VLOOKUP($C18,授業リスト!$A:$J,4,FALSE),"")</f>
        <v>1</v>
      </c>
      <c r="H18" s="32" t="str">
        <f>IF($C18&lt;&gt;"",VLOOKUP($C18,授業リスト!$A:$J,5,FALSE),"")</f>
        <v>後</v>
      </c>
      <c r="I18" s="32" t="str">
        <f>IF($C18&lt;&gt;"",VLOOKUP($C18,授業リスト!$A:$J,6,FALSE),"")</f>
        <v>月</v>
      </c>
      <c r="J18" s="32">
        <f>IF($C18&lt;&gt;"",VLOOKUP($C18,授業リスト!$A:$J,7,FALSE),"")</f>
        <v>3</v>
      </c>
      <c r="K18" s="33">
        <f>IF($C18&lt;&gt;"",VLOOKUP($C18,授業リスト!$A:$J,9,FALSE),"")</f>
        <v>1</v>
      </c>
      <c r="N18" t="str">
        <f>IF($C18&lt;&gt;"",VLOOKUP($C18,授業リスト!$A:$Z,COLUMN(),FALSE),"")</f>
        <v>Y</v>
      </c>
      <c r="O18" t="str">
        <f>IF($C18&lt;&gt;"",VLOOKUP($C18,授業リスト!$A:$Z,COLUMN(),FALSE),"")</f>
        <v/>
      </c>
      <c r="P18" t="str">
        <f>IF($C18&lt;&gt;"",VLOOKUP($C18,授業リスト!$A:$Z,COLUMN(),FALSE),"")</f>
        <v/>
      </c>
      <c r="Q18" t="str">
        <f>IF($C18&lt;&gt;"",VLOOKUP($C18,授業リスト!$A:$Z,COLUMN(),FALSE),"")</f>
        <v/>
      </c>
      <c r="R18" t="str">
        <f>IF($C18&lt;&gt;"",VLOOKUP($C18,授業リスト!$A:$Z,COLUMN(),FALSE),"")</f>
        <v/>
      </c>
      <c r="S18" t="str">
        <f>IF($C18&lt;&gt;"",VLOOKUP($C18,授業リスト!$A:$Z,COLUMN(),FALSE),"")</f>
        <v/>
      </c>
      <c r="T18" t="str">
        <f>IF($C18&lt;&gt;"",VLOOKUP($C18,授業リスト!$A:$Z,COLUMN(),FALSE),"")</f>
        <v/>
      </c>
      <c r="U18" t="str">
        <f>IF($C18&lt;&gt;"",VLOOKUP($C18,授業リスト!$A:$Z,COLUMN(),FALSE),"")</f>
        <v/>
      </c>
      <c r="V18" t="str">
        <f>IF($C18&lt;&gt;"",VLOOKUP($C18,授業リスト!$A:$Z,COLUMN(),FALSE),"")</f>
        <v/>
      </c>
      <c r="W18">
        <f>IF($C18&lt;&gt;"",VLOOKUP($C18,授業リスト!$A:$Z,COLUMN(),FALSE),"")</f>
        <v>0</v>
      </c>
      <c r="X18">
        <f>IF($C18&lt;&gt;"",VLOOKUP($C18,授業リスト!$A:$Z,COLUMN(),FALSE),"")</f>
        <v>0</v>
      </c>
      <c r="Y18">
        <f>IF($C18&lt;&gt;"",VLOOKUP($C18,授業リスト!$A:$Z,COLUMN(),FALSE),"")</f>
        <v>0</v>
      </c>
      <c r="Z18">
        <f>IF($C18&lt;&gt;"",VLOOKUP($C18,授業リスト!$A:$Z,COLUMN(),FALSE),"")</f>
        <v>0</v>
      </c>
    </row>
    <row r="19" spans="1:26" ht="17">
      <c r="A19">
        <v>1</v>
      </c>
      <c r="B19" t="s">
        <v>47</v>
      </c>
      <c r="C19" s="87">
        <v>37055</v>
      </c>
      <c r="D19" t="str">
        <f>IF($C19&lt;&gt;"",VLOOKUP($C19,授業リスト!$A:$J,2,FALSE),"")</f>
        <v>English III</v>
      </c>
      <c r="E19" t="str">
        <f>IF($C19&lt;&gt;"",VLOOKUP($C19,授業リスト!$A:$J,3,FALSE),"")</f>
        <v>h</v>
      </c>
      <c r="F19" t="str">
        <f>IF($C19&lt;&gt;"",VLOOKUP($C19,授業リスト!$A:$J,8,FALSE),"")</f>
        <v>Jane Austen</v>
      </c>
      <c r="G19">
        <f>IF($C19&lt;&gt;"",VLOOKUP($C19,授業リスト!$A:$J,4,FALSE),"")</f>
        <v>1</v>
      </c>
      <c r="H19" t="str">
        <f>IF($C19&lt;&gt;"",VLOOKUP($C19,授業リスト!$A:$J,5,FALSE),"")</f>
        <v>後</v>
      </c>
      <c r="I19" t="str">
        <f>IF($C19&lt;&gt;"",VLOOKUP($C19,授業リスト!$A:$J,6,FALSE),"")</f>
        <v>水</v>
      </c>
      <c r="J19">
        <f>IF($C19&lt;&gt;"",VLOOKUP($C19,授業リスト!$A:$J,7,FALSE),"")</f>
        <v>1</v>
      </c>
      <c r="K19" s="30">
        <f>IF($C19&lt;&gt;"",VLOOKUP($C19,授業リスト!$A:$J,9,FALSE),"")</f>
        <v>1</v>
      </c>
      <c r="N19" t="str">
        <f>IF($C19&lt;&gt;"",VLOOKUP($C19,授業リスト!$A:$Z,COLUMN(),FALSE),"")</f>
        <v>Y</v>
      </c>
      <c r="O19" t="str">
        <f>IF($C19&lt;&gt;"",VLOOKUP($C19,授業リスト!$A:$Z,COLUMN(),FALSE),"")</f>
        <v/>
      </c>
      <c r="P19" t="str">
        <f>IF($C19&lt;&gt;"",VLOOKUP($C19,授業リスト!$A:$Z,COLUMN(),FALSE),"")</f>
        <v/>
      </c>
      <c r="Q19" t="str">
        <f>IF($C19&lt;&gt;"",VLOOKUP($C19,授業リスト!$A:$Z,COLUMN(),FALSE),"")</f>
        <v/>
      </c>
      <c r="R19" t="str">
        <f>IF($C19&lt;&gt;"",VLOOKUP($C19,授業リスト!$A:$Z,COLUMN(),FALSE),"")</f>
        <v/>
      </c>
      <c r="S19" t="str">
        <f>IF($C19&lt;&gt;"",VLOOKUP($C19,授業リスト!$A:$Z,COLUMN(),FALSE),"")</f>
        <v/>
      </c>
      <c r="T19" t="str">
        <f>IF($C19&lt;&gt;"",VLOOKUP($C19,授業リスト!$A:$Z,COLUMN(),FALSE),"")</f>
        <v/>
      </c>
      <c r="U19" t="str">
        <f>IF($C19&lt;&gt;"",VLOOKUP($C19,授業リスト!$A:$Z,COLUMN(),FALSE),"")</f>
        <v/>
      </c>
      <c r="V19" t="str">
        <f>IF($C19&lt;&gt;"",VLOOKUP($C19,授業リスト!$A:$Z,COLUMN(),FALSE),"")</f>
        <v/>
      </c>
      <c r="W19">
        <f>IF($C19&lt;&gt;"",VLOOKUP($C19,授業リスト!$A:$Z,COLUMN(),FALSE),"")</f>
        <v>0</v>
      </c>
      <c r="X19">
        <f>IF($C19&lt;&gt;"",VLOOKUP($C19,授業リスト!$A:$Z,COLUMN(),FALSE),"")</f>
        <v>0</v>
      </c>
      <c r="Y19">
        <f>IF($C19&lt;&gt;"",VLOOKUP($C19,授業リスト!$A:$Z,COLUMN(),FALSE),"")</f>
        <v>0</v>
      </c>
      <c r="Z19">
        <f>IF($C19&lt;&gt;"",VLOOKUP($C19,授業リスト!$A:$Z,COLUMN(),FALSE),"")</f>
        <v>0</v>
      </c>
    </row>
    <row r="20" spans="1:26" ht="17">
      <c r="A20">
        <v>1</v>
      </c>
      <c r="B20" t="s">
        <v>47</v>
      </c>
      <c r="C20" s="87">
        <v>37063</v>
      </c>
      <c r="D20" t="str">
        <f>IF($C20&lt;&gt;"",VLOOKUP($C20,授業リスト!$A:$J,2,FALSE),"")</f>
        <v>English IV</v>
      </c>
      <c r="E20" t="str">
        <f>IF($C20&lt;&gt;"",VLOOKUP($C20,授業リスト!$A:$J,3,FALSE),"")</f>
        <v>h</v>
      </c>
      <c r="F20" t="str">
        <f>IF($C20&lt;&gt;"",VLOOKUP($C20,授業リスト!$A:$J,8,FALSE),"")</f>
        <v>Robert Frost</v>
      </c>
      <c r="G20">
        <f>IF($C20&lt;&gt;"",VLOOKUP($C20,授業リスト!$A:$J,4,FALSE),"")</f>
        <v>1</v>
      </c>
      <c r="H20" t="str">
        <f>IF($C20&lt;&gt;"",VLOOKUP($C20,授業リスト!$A:$J,5,FALSE),"")</f>
        <v>後</v>
      </c>
      <c r="I20" t="str">
        <f>IF($C20&lt;&gt;"",VLOOKUP($C20,授業リスト!$A:$J,6,FALSE),"")</f>
        <v>木</v>
      </c>
      <c r="J20">
        <f>IF($C20&lt;&gt;"",VLOOKUP($C20,授業リスト!$A:$J,7,FALSE),"")</f>
        <v>2</v>
      </c>
      <c r="K20" s="30">
        <f>IF($C20&lt;&gt;"",VLOOKUP($C20,授業リスト!$A:$J,9,FALSE),"")</f>
        <v>1</v>
      </c>
      <c r="N20" t="str">
        <f>IF($C20&lt;&gt;"",VLOOKUP($C20,授業リスト!$A:$Z,COLUMN(),FALSE),"")</f>
        <v>Y</v>
      </c>
      <c r="O20" t="str">
        <f>IF($C20&lt;&gt;"",VLOOKUP($C20,授業リスト!$A:$Z,COLUMN(),FALSE),"")</f>
        <v/>
      </c>
      <c r="P20" t="str">
        <f>IF($C20&lt;&gt;"",VLOOKUP($C20,授業リスト!$A:$Z,COLUMN(),FALSE),"")</f>
        <v/>
      </c>
      <c r="Q20" t="str">
        <f>IF($C20&lt;&gt;"",VLOOKUP($C20,授業リスト!$A:$Z,COLUMN(),FALSE),"")</f>
        <v/>
      </c>
      <c r="R20" t="str">
        <f>IF($C20&lt;&gt;"",VLOOKUP($C20,授業リスト!$A:$Z,COLUMN(),FALSE),"")</f>
        <v/>
      </c>
      <c r="S20" t="str">
        <f>IF($C20&lt;&gt;"",VLOOKUP($C20,授業リスト!$A:$Z,COLUMN(),FALSE),"")</f>
        <v/>
      </c>
      <c r="T20" t="str">
        <f>IF($C20&lt;&gt;"",VLOOKUP($C20,授業リスト!$A:$Z,COLUMN(),FALSE),"")</f>
        <v/>
      </c>
      <c r="U20" t="str">
        <f>IF($C20&lt;&gt;"",VLOOKUP($C20,授業リスト!$A:$Z,COLUMN(),FALSE),"")</f>
        <v/>
      </c>
      <c r="V20" t="str">
        <f>IF($C20&lt;&gt;"",VLOOKUP($C20,授業リスト!$A:$Z,COLUMN(),FALSE),"")</f>
        <v/>
      </c>
      <c r="W20">
        <f>IF($C20&lt;&gt;"",VLOOKUP($C20,授業リスト!$A:$Z,COLUMN(),FALSE),"")</f>
        <v>0</v>
      </c>
      <c r="X20">
        <f>IF($C20&lt;&gt;"",VLOOKUP($C20,授業リスト!$A:$Z,COLUMN(),FALSE),"")</f>
        <v>0</v>
      </c>
      <c r="Y20">
        <f>IF($C20&lt;&gt;"",VLOOKUP($C20,授業リスト!$A:$Z,COLUMN(),FALSE),"")</f>
        <v>0</v>
      </c>
      <c r="Z20">
        <f>IF($C20&lt;&gt;"",VLOOKUP($C20,授業リスト!$A:$Z,COLUMN(),FALSE),"")</f>
        <v>0</v>
      </c>
    </row>
    <row r="21" spans="1:26" ht="17">
      <c r="A21">
        <v>1</v>
      </c>
      <c r="B21" t="s">
        <v>47</v>
      </c>
      <c r="C21" s="87">
        <v>37077</v>
      </c>
      <c r="D21" t="str">
        <f>IF($C21&lt;&gt;"",VLOOKUP($C21,授業リスト!$A:$J,2,FALSE),"")</f>
        <v>English Communication II</v>
      </c>
      <c r="E21" t="str">
        <f>IF($C21&lt;&gt;"",VLOOKUP($C21,授業リスト!$A:$J,3,FALSE),"")</f>
        <v>C</v>
      </c>
      <c r="F21" t="str">
        <f>IF($C21&lt;&gt;"",VLOOKUP($C21,授業リスト!$A:$J,8,FALSE),"")</f>
        <v>Sir Walter Raleigh</v>
      </c>
      <c r="G21">
        <f>IF($C21&lt;&gt;"",VLOOKUP($C21,授業リスト!$A:$J,4,FALSE),"")</f>
        <v>1</v>
      </c>
      <c r="H21" t="str">
        <f>IF($C21&lt;&gt;"",VLOOKUP($C21,授業リスト!$A:$J,5,FALSE),"")</f>
        <v>後</v>
      </c>
      <c r="I21" t="str">
        <f>IF($C21&lt;&gt;"",VLOOKUP($C21,授業リスト!$A:$J,6,FALSE),"")</f>
        <v>火</v>
      </c>
      <c r="J21">
        <f>IF($C21&lt;&gt;"",VLOOKUP($C21,授業リスト!$A:$J,7,FALSE),"")</f>
        <v>2</v>
      </c>
      <c r="K21" s="30">
        <f>IF($C21&lt;&gt;"",VLOOKUP($C21,授業リスト!$A:$J,9,FALSE),"")</f>
        <v>1</v>
      </c>
      <c r="N21" t="str">
        <f>IF($C21&lt;&gt;"",VLOOKUP($C21,授業リスト!$A:$Z,COLUMN(),FALSE),"")</f>
        <v>Y</v>
      </c>
      <c r="O21" t="str">
        <f>IF($C21&lt;&gt;"",VLOOKUP($C21,授業リスト!$A:$Z,COLUMN(),FALSE),"")</f>
        <v/>
      </c>
      <c r="P21" t="str">
        <f>IF($C21&lt;&gt;"",VLOOKUP($C21,授業リスト!$A:$Z,COLUMN(),FALSE),"")</f>
        <v/>
      </c>
      <c r="Q21" t="str">
        <f>IF($C21&lt;&gt;"",VLOOKUP($C21,授業リスト!$A:$Z,COLUMN(),FALSE),"")</f>
        <v/>
      </c>
      <c r="R21" t="str">
        <f>IF($C21&lt;&gt;"",VLOOKUP($C21,授業リスト!$A:$Z,COLUMN(),FALSE),"")</f>
        <v/>
      </c>
      <c r="S21" t="str">
        <f>IF($C21&lt;&gt;"",VLOOKUP($C21,授業リスト!$A:$Z,COLUMN(),FALSE),"")</f>
        <v/>
      </c>
      <c r="T21" t="str">
        <f>IF($C21&lt;&gt;"",VLOOKUP($C21,授業リスト!$A:$Z,COLUMN(),FALSE),"")</f>
        <v/>
      </c>
      <c r="U21" t="str">
        <f>IF($C21&lt;&gt;"",VLOOKUP($C21,授業リスト!$A:$Z,COLUMN(),FALSE),"")</f>
        <v/>
      </c>
      <c r="V21" t="str">
        <f>IF($C21&lt;&gt;"",VLOOKUP($C21,授業リスト!$A:$Z,COLUMN(),FALSE),"")</f>
        <v/>
      </c>
      <c r="W21">
        <f>IF($C21&lt;&gt;"",VLOOKUP($C21,授業リスト!$A:$Z,COLUMN(),FALSE),"")</f>
        <v>0</v>
      </c>
      <c r="X21">
        <f>IF($C21&lt;&gt;"",VLOOKUP($C21,授業リスト!$A:$Z,COLUMN(),FALSE),"")</f>
        <v>0</v>
      </c>
      <c r="Y21">
        <f>IF($C21&lt;&gt;"",VLOOKUP($C21,授業リスト!$A:$Z,COLUMN(),FALSE),"")</f>
        <v>0</v>
      </c>
      <c r="Z21">
        <f>IF($C21&lt;&gt;"",VLOOKUP($C21,授業リスト!$A:$Z,COLUMN(),FALSE),"")</f>
        <v>0</v>
      </c>
    </row>
    <row r="22" spans="1:26" ht="17">
      <c r="A22">
        <v>1</v>
      </c>
      <c r="B22" t="s">
        <v>47</v>
      </c>
      <c r="C22" s="87">
        <v>37237</v>
      </c>
      <c r="D22" t="str">
        <f>IF($C22&lt;&gt;"",VLOOKUP($C22,授業リスト!$A:$J,2,FALSE),"")</f>
        <v>Fundamentals and Philosophy of Education</v>
      </c>
      <c r="E22">
        <f>IF($C22&lt;&gt;"",VLOOKUP($C22,授業リスト!$A:$J,3,FALSE),"")</f>
        <v>0</v>
      </c>
      <c r="F22" t="str">
        <f>IF($C22&lt;&gt;"",VLOOKUP($C22,授業リスト!$A:$J,8,FALSE),"")</f>
        <v>Emily Dickinson</v>
      </c>
      <c r="G22">
        <f>IF($C22&lt;&gt;"",VLOOKUP($C22,授業リスト!$A:$J,4,FALSE),"")</f>
        <v>2</v>
      </c>
      <c r="H22" t="str">
        <f>IF($C22&lt;&gt;"",VLOOKUP($C22,授業リスト!$A:$J,5,FALSE),"")</f>
        <v>後</v>
      </c>
      <c r="I22" t="str">
        <f>IF($C22&lt;&gt;"",VLOOKUP($C22,授業リスト!$A:$J,6,FALSE),"")</f>
        <v>水</v>
      </c>
      <c r="J22">
        <f>IF($C22&lt;&gt;"",VLOOKUP($C22,授業リスト!$A:$J,7,FALSE),"")</f>
        <v>2</v>
      </c>
      <c r="K22" s="30">
        <f>IF($C22&lt;&gt;"",VLOOKUP($C22,授業リスト!$A:$J,9,FALSE),"")</f>
        <v>1</v>
      </c>
      <c r="N22" t="str">
        <f>IF($C22&lt;&gt;"",VLOOKUP($C22,授業リスト!$A:$Z,COLUMN(),FALSE),"")</f>
        <v/>
      </c>
      <c r="O22" t="str">
        <f>IF($C22&lt;&gt;"",VLOOKUP($C22,授業リスト!$A:$Z,COLUMN(),FALSE),"")</f>
        <v/>
      </c>
      <c r="P22" t="str">
        <f>IF($C22&lt;&gt;"",VLOOKUP($C22,授業リスト!$A:$Z,COLUMN(),FALSE),"")</f>
        <v>Y</v>
      </c>
      <c r="Q22" t="str">
        <f>IF($C22&lt;&gt;"",VLOOKUP($C22,授業リスト!$A:$Z,COLUMN(),FALSE),"")</f>
        <v>Y</v>
      </c>
      <c r="R22" t="str">
        <f>IF($C22&lt;&gt;"",VLOOKUP($C22,授業リスト!$A:$Z,COLUMN(),FALSE),"")</f>
        <v/>
      </c>
      <c r="S22" t="str">
        <f>IF($C22&lt;&gt;"",VLOOKUP($C22,授業リスト!$A:$Z,COLUMN(),FALSE),"")</f>
        <v/>
      </c>
      <c r="T22" t="str">
        <f>IF($C22&lt;&gt;"",VLOOKUP($C22,授業リスト!$A:$Z,COLUMN(),FALSE),"")</f>
        <v/>
      </c>
      <c r="U22" t="str">
        <f>IF($C22&lt;&gt;"",VLOOKUP($C22,授業リスト!$A:$Z,COLUMN(),FALSE),"")</f>
        <v/>
      </c>
      <c r="V22" t="str">
        <f>IF($C22&lt;&gt;"",VLOOKUP($C22,授業リスト!$A:$Z,COLUMN(),FALSE),"")</f>
        <v/>
      </c>
      <c r="W22">
        <f>IF($C22&lt;&gt;"",VLOOKUP($C22,授業リスト!$A:$Z,COLUMN(),FALSE),"")</f>
        <v>0</v>
      </c>
      <c r="X22">
        <f>IF($C22&lt;&gt;"",VLOOKUP($C22,授業リスト!$A:$Z,COLUMN(),FALSE),"")</f>
        <v>0</v>
      </c>
      <c r="Y22">
        <f>IF($C22&lt;&gt;"",VLOOKUP($C22,授業リスト!$A:$Z,COLUMN(),FALSE),"")</f>
        <v>0</v>
      </c>
      <c r="Z22">
        <f>IF($C22&lt;&gt;"",VLOOKUP($C22,授業リスト!$A:$Z,COLUMN(),FALSE),"")</f>
        <v>0</v>
      </c>
    </row>
    <row r="23" spans="1:26" ht="17">
      <c r="A23">
        <v>1</v>
      </c>
      <c r="B23" t="s">
        <v>47</v>
      </c>
      <c r="C23" s="87">
        <v>37467</v>
      </c>
      <c r="D23" t="str">
        <f>IF($C23&lt;&gt;"",VLOOKUP($C23,授業リスト!$A:$J,2,FALSE),"")</f>
        <v>Special Lectures in English Linguistics I</v>
      </c>
      <c r="E23" t="str">
        <f>IF($C23&lt;&gt;"",VLOOKUP($C23,授業リスト!$A:$J,3,FALSE),"")</f>
        <v/>
      </c>
      <c r="F23" t="str">
        <f>IF($C23&lt;&gt;"",VLOOKUP($C23,授業リスト!$A:$J,8,FALSE),"")</f>
        <v>Guglielmo Marconi</v>
      </c>
      <c r="G23">
        <f>IF($C23&lt;&gt;"",VLOOKUP($C23,授業リスト!$A:$J,4,FALSE),"")</f>
        <v>2</v>
      </c>
      <c r="H23" t="str">
        <f>IF($C23&lt;&gt;"",VLOOKUP($C23,授業リスト!$A:$J,5,FALSE),"")</f>
        <v>後</v>
      </c>
      <c r="I23" t="str">
        <f>IF($C23&lt;&gt;"",VLOOKUP($C23,授業リスト!$A:$J,6,FALSE),"")</f>
        <v>木</v>
      </c>
      <c r="J23">
        <f>IF($C23&lt;&gt;"",VLOOKUP($C23,授業リスト!$A:$J,7,FALSE),"")</f>
        <v>4</v>
      </c>
      <c r="K23" s="30">
        <f>IF($C23&lt;&gt;"",VLOOKUP($C23,授業リスト!$A:$J,9,FALSE),"")</f>
        <v>1</v>
      </c>
      <c r="N23" t="str">
        <f>IF($C23&lt;&gt;"",VLOOKUP($C23,授業リスト!$A:$Z,COLUMN(),FALSE),"")</f>
        <v/>
      </c>
      <c r="O23" t="str">
        <f>IF($C23&lt;&gt;"",VLOOKUP($C23,授業リスト!$A:$Z,COLUMN(),FALSE),"")</f>
        <v>Y</v>
      </c>
      <c r="P23" t="str">
        <f>IF($C23&lt;&gt;"",VLOOKUP($C23,授業リスト!$A:$Z,COLUMN(),FALSE),"")</f>
        <v/>
      </c>
      <c r="Q23" t="str">
        <f>IF($C23&lt;&gt;"",VLOOKUP($C23,授業リスト!$A:$Z,COLUMN(),FALSE),"")</f>
        <v/>
      </c>
      <c r="R23" t="str">
        <f>IF($C23&lt;&gt;"",VLOOKUP($C23,授業リスト!$A:$Z,COLUMN(),FALSE),"")</f>
        <v/>
      </c>
      <c r="S23" t="str">
        <f>IF($C23&lt;&gt;"",VLOOKUP($C23,授業リスト!$A:$Z,COLUMN(),FALSE),"")</f>
        <v/>
      </c>
      <c r="T23" t="str">
        <f>IF($C23&lt;&gt;"",VLOOKUP($C23,授業リスト!$A:$Z,COLUMN(),FALSE),"")</f>
        <v/>
      </c>
      <c r="U23" t="str">
        <f>IF($C23&lt;&gt;"",VLOOKUP($C23,授業リスト!$A:$Z,COLUMN(),FALSE),"")</f>
        <v/>
      </c>
      <c r="V23" t="str">
        <f>IF($C23&lt;&gt;"",VLOOKUP($C23,授業リスト!$A:$Z,COLUMN(),FALSE),"")</f>
        <v/>
      </c>
      <c r="W23">
        <f>IF($C23&lt;&gt;"",VLOOKUP($C23,授業リスト!$A:$Z,COLUMN(),FALSE),"")</f>
        <v>0</v>
      </c>
      <c r="X23">
        <f>IF($C23&lt;&gt;"",VLOOKUP($C23,授業リスト!$A:$Z,COLUMN(),FALSE),"")</f>
        <v>0</v>
      </c>
      <c r="Y23">
        <f>IF($C23&lt;&gt;"",VLOOKUP($C23,授業リスト!$A:$Z,COLUMN(),FALSE),"")</f>
        <v>0</v>
      </c>
      <c r="Z23">
        <f>IF($C23&lt;&gt;"",VLOOKUP($C23,授業リスト!$A:$Z,COLUMN(),FALSE),"")</f>
        <v>0</v>
      </c>
    </row>
    <row r="24" spans="1:26" ht="17">
      <c r="A24">
        <v>1</v>
      </c>
      <c r="B24" t="s">
        <v>47</v>
      </c>
      <c r="C24" s="87">
        <v>37473</v>
      </c>
      <c r="D24" t="str">
        <f>IF($C24&lt;&gt;"",VLOOKUP($C24,授業リスト!$A:$J,2,FALSE),"")</f>
        <v>Special Lectures in English Literature I</v>
      </c>
      <c r="E24" t="str">
        <f>IF($C24&lt;&gt;"",VLOOKUP($C24,授業リスト!$A:$J,3,FALSE),"")</f>
        <v/>
      </c>
      <c r="F24" t="str">
        <f>IF($C24&lt;&gt;"",VLOOKUP($C24,授業リスト!$A:$J,8,FALSE),"")</f>
        <v>George Washington</v>
      </c>
      <c r="G24">
        <f>IF($C24&lt;&gt;"",VLOOKUP($C24,授業リスト!$A:$J,4,FALSE),"")</f>
        <v>2</v>
      </c>
      <c r="H24" t="str">
        <f>IF($C24&lt;&gt;"",VLOOKUP($C24,授業リスト!$A:$J,5,FALSE),"")</f>
        <v>後</v>
      </c>
      <c r="I24" t="str">
        <f>IF($C24&lt;&gt;"",VLOOKUP($C24,授業リスト!$A:$J,6,FALSE),"")</f>
        <v>月</v>
      </c>
      <c r="J24">
        <f>IF($C24&lt;&gt;"",VLOOKUP($C24,授業リスト!$A:$J,7,FALSE),"")</f>
        <v>4</v>
      </c>
      <c r="K24" s="30">
        <f>IF($C24&lt;&gt;"",VLOOKUP($C24,授業リスト!$A:$J,9,FALSE),"")</f>
        <v>1</v>
      </c>
      <c r="N24" t="str">
        <f>IF($C24&lt;&gt;"",VLOOKUP($C24,授業リスト!$A:$Z,COLUMN(),FALSE),"")</f>
        <v/>
      </c>
      <c r="O24" t="str">
        <f>IF($C24&lt;&gt;"",VLOOKUP($C24,授業リスト!$A:$Z,COLUMN(),FALSE),"")</f>
        <v>Y</v>
      </c>
      <c r="P24" t="str">
        <f>IF($C24&lt;&gt;"",VLOOKUP($C24,授業リスト!$A:$Z,COLUMN(),FALSE),"")</f>
        <v/>
      </c>
      <c r="Q24" t="str">
        <f>IF($C24&lt;&gt;"",VLOOKUP($C24,授業リスト!$A:$Z,COLUMN(),FALSE),"")</f>
        <v/>
      </c>
      <c r="R24" t="str">
        <f>IF($C24&lt;&gt;"",VLOOKUP($C24,授業リスト!$A:$Z,COLUMN(),FALSE),"")</f>
        <v/>
      </c>
      <c r="S24" t="str">
        <f>IF($C24&lt;&gt;"",VLOOKUP($C24,授業リスト!$A:$Z,COLUMN(),FALSE),"")</f>
        <v/>
      </c>
      <c r="T24" t="str">
        <f>IF($C24&lt;&gt;"",VLOOKUP($C24,授業リスト!$A:$Z,COLUMN(),FALSE),"")</f>
        <v/>
      </c>
      <c r="U24" t="str">
        <f>IF($C24&lt;&gt;"",VLOOKUP($C24,授業リスト!$A:$Z,COLUMN(),FALSE),"")</f>
        <v/>
      </c>
      <c r="V24" t="str">
        <f>IF($C24&lt;&gt;"",VLOOKUP($C24,授業リスト!$A:$Z,COLUMN(),FALSE),"")</f>
        <v/>
      </c>
      <c r="W24">
        <f>IF($C24&lt;&gt;"",VLOOKUP($C24,授業リスト!$A:$Z,COLUMN(),FALSE),"")</f>
        <v>0</v>
      </c>
      <c r="X24">
        <f>IF($C24&lt;&gt;"",VLOOKUP($C24,授業リスト!$A:$Z,COLUMN(),FALSE),"")</f>
        <v>0</v>
      </c>
      <c r="Y24">
        <f>IF($C24&lt;&gt;"",VLOOKUP($C24,授業リスト!$A:$Z,COLUMN(),FALSE),"")</f>
        <v>0</v>
      </c>
      <c r="Z24">
        <f>IF($C24&lt;&gt;"",VLOOKUP($C24,授業リスト!$A:$Z,COLUMN(),FALSE),"")</f>
        <v>0</v>
      </c>
    </row>
    <row r="25" spans="1:26" ht="17">
      <c r="A25">
        <v>1</v>
      </c>
      <c r="B25" t="s">
        <v>47</v>
      </c>
      <c r="C25" s="87">
        <v>37483</v>
      </c>
      <c r="D25" t="str">
        <f>IF($C25&lt;&gt;"",VLOOKUP($C25,授業リスト!$A:$J,2,FALSE),"")</f>
        <v>Special Lectures in English Communication Studies I</v>
      </c>
      <c r="E25">
        <f>IF($C25&lt;&gt;"",VLOOKUP($C25,授業リスト!$A:$J,3,FALSE),"")</f>
        <v>0</v>
      </c>
      <c r="F25" t="str">
        <f>IF($C25&lt;&gt;"",VLOOKUP($C25,授業リスト!$A:$J,8,FALSE),"")</f>
        <v>Ernest Hemingway</v>
      </c>
      <c r="G25">
        <f>IF($C25&lt;&gt;"",VLOOKUP($C25,授業リスト!$A:$J,4,FALSE),"")</f>
        <v>2</v>
      </c>
      <c r="H25" t="str">
        <f>IF($C25&lt;&gt;"",VLOOKUP($C25,授業リスト!$A:$J,5,FALSE),"")</f>
        <v>後</v>
      </c>
      <c r="I25" t="str">
        <f>IF($C25&lt;&gt;"",VLOOKUP($C25,授業リスト!$A:$J,6,FALSE),"")</f>
        <v>火</v>
      </c>
      <c r="J25">
        <f>IF($C25&lt;&gt;"",VLOOKUP($C25,授業リスト!$A:$J,7,FALSE),"")</f>
        <v>3</v>
      </c>
      <c r="K25" s="30">
        <f>IF($C25&lt;&gt;"",VLOOKUP($C25,授業リスト!$A:$J,9,FALSE),"")</f>
        <v>1</v>
      </c>
      <c r="N25" t="str">
        <f>IF($C25&lt;&gt;"",VLOOKUP($C25,授業リスト!$A:$Z,COLUMN(),FALSE),"")</f>
        <v/>
      </c>
      <c r="O25" t="str">
        <f>IF($C25&lt;&gt;"",VLOOKUP($C25,授業リスト!$A:$Z,COLUMN(),FALSE),"")</f>
        <v>Y</v>
      </c>
      <c r="P25" t="str">
        <f>IF($C25&lt;&gt;"",VLOOKUP($C25,授業リスト!$A:$Z,COLUMN(),FALSE),"")</f>
        <v/>
      </c>
      <c r="Q25" t="str">
        <f>IF($C25&lt;&gt;"",VLOOKUP($C25,授業リスト!$A:$Z,COLUMN(),FALSE),"")</f>
        <v/>
      </c>
      <c r="R25" t="str">
        <f>IF($C25&lt;&gt;"",VLOOKUP($C25,授業リスト!$A:$Z,COLUMN(),FALSE),"")</f>
        <v/>
      </c>
      <c r="S25" t="str">
        <f>IF($C25&lt;&gt;"",VLOOKUP($C25,授業リスト!$A:$Z,COLUMN(),FALSE),"")</f>
        <v/>
      </c>
      <c r="T25" t="str">
        <f>IF($C25&lt;&gt;"",VLOOKUP($C25,授業リスト!$A:$Z,COLUMN(),FALSE),"")</f>
        <v/>
      </c>
      <c r="U25" t="str">
        <f>IF($C25&lt;&gt;"",VLOOKUP($C25,授業リスト!$A:$Z,COLUMN(),FALSE),"")</f>
        <v/>
      </c>
      <c r="V25" t="str">
        <f>IF($C25&lt;&gt;"",VLOOKUP($C25,授業リスト!$A:$Z,COLUMN(),FALSE),"")</f>
        <v/>
      </c>
      <c r="W25">
        <f>IF($C25&lt;&gt;"",VLOOKUP($C25,授業リスト!$A:$Z,COLUMN(),FALSE),"")</f>
        <v>0</v>
      </c>
      <c r="X25">
        <f>IF($C25&lt;&gt;"",VLOOKUP($C25,授業リスト!$A:$Z,COLUMN(),FALSE),"")</f>
        <v>0</v>
      </c>
      <c r="Y25">
        <f>IF($C25&lt;&gt;"",VLOOKUP($C25,授業リスト!$A:$Z,COLUMN(),FALSE),"")</f>
        <v>0</v>
      </c>
      <c r="Z25">
        <f>IF($C25&lt;&gt;"",VLOOKUP($C25,授業リスト!$A:$Z,COLUMN(),FALSE),"")</f>
        <v>0</v>
      </c>
    </row>
    <row r="26" spans="1:26" ht="17">
      <c r="A26">
        <v>1</v>
      </c>
      <c r="B26" t="s">
        <v>47</v>
      </c>
      <c r="C26" s="87">
        <v>37450</v>
      </c>
      <c r="D26" t="str">
        <f>IF($C26&lt;&gt;"",VLOOKUP($C26,授業リスト!$A:$J,2,FALSE),"")</f>
        <v>Introduction to English Linguistics I</v>
      </c>
      <c r="E26" t="str">
        <f>IF($C26&lt;&gt;"",VLOOKUP($C26,授業リスト!$A:$J,3,FALSE),"")</f>
        <v/>
      </c>
      <c r="F26" t="str">
        <f>IF($C26&lt;&gt;"",VLOOKUP($C26,授業リスト!$A:$J,8,FALSE),"")</f>
        <v>Florence Nightingale</v>
      </c>
      <c r="G26">
        <f>IF($C26&lt;&gt;"",VLOOKUP($C26,授業リスト!$A:$J,4,FALSE),"")</f>
        <v>2</v>
      </c>
      <c r="H26" t="str">
        <f>IF($C26&lt;&gt;"",VLOOKUP($C26,授業リスト!$A:$J,5,FALSE),"")</f>
        <v>後</v>
      </c>
      <c r="I26" t="str">
        <f>IF($C26&lt;&gt;"",VLOOKUP($C26,授業リスト!$A:$J,6,FALSE),"")</f>
        <v>水</v>
      </c>
      <c r="J26">
        <f>IF($C26&lt;&gt;"",VLOOKUP($C26,授業リスト!$A:$J,7,FALSE),"")</f>
        <v>4</v>
      </c>
      <c r="K26" s="30">
        <f>IF($C26&lt;&gt;"",VLOOKUP($C26,授業リスト!$A:$J,9,FALSE),"")</f>
        <v>1</v>
      </c>
      <c r="N26" t="str">
        <f>IF($C26&lt;&gt;"",VLOOKUP($C26,授業リスト!$A:$Z,COLUMN(),FALSE),"")</f>
        <v/>
      </c>
      <c r="O26" t="str">
        <f>IF($C26&lt;&gt;"",VLOOKUP($C26,授業リスト!$A:$Z,COLUMN(),FALSE),"")</f>
        <v>Y</v>
      </c>
      <c r="P26" t="str">
        <f>IF($C26&lt;&gt;"",VLOOKUP($C26,授業リスト!$A:$Z,COLUMN(),FALSE),"")</f>
        <v/>
      </c>
      <c r="Q26" t="str">
        <f>IF($C26&lt;&gt;"",VLOOKUP($C26,授業リスト!$A:$Z,COLUMN(),FALSE),"")</f>
        <v/>
      </c>
      <c r="R26" t="str">
        <f>IF($C26&lt;&gt;"",VLOOKUP($C26,授業リスト!$A:$Z,COLUMN(),FALSE),"")</f>
        <v/>
      </c>
      <c r="S26" t="str">
        <f>IF($C26&lt;&gt;"",VLOOKUP($C26,授業リスト!$A:$Z,COLUMN(),FALSE),"")</f>
        <v/>
      </c>
      <c r="T26" t="str">
        <f>IF($C26&lt;&gt;"",VLOOKUP($C26,授業リスト!$A:$Z,COLUMN(),FALSE),"")</f>
        <v/>
      </c>
      <c r="U26" t="str">
        <f>IF($C26&lt;&gt;"",VLOOKUP($C26,授業リスト!$A:$Z,COLUMN(),FALSE),"")</f>
        <v/>
      </c>
      <c r="V26" t="str">
        <f>IF($C26&lt;&gt;"",VLOOKUP($C26,授業リスト!$A:$Z,COLUMN(),FALSE),"")</f>
        <v/>
      </c>
      <c r="W26">
        <f>IF($C26&lt;&gt;"",VLOOKUP($C26,授業リスト!$A:$Z,COLUMN(),FALSE),"")</f>
        <v>0</v>
      </c>
      <c r="X26">
        <f>IF($C26&lt;&gt;"",VLOOKUP($C26,授業リスト!$A:$Z,COLUMN(),FALSE),"")</f>
        <v>0</v>
      </c>
      <c r="Y26">
        <f>IF($C26&lt;&gt;"",VLOOKUP($C26,授業リスト!$A:$Z,COLUMN(),FALSE),"")</f>
        <v>0</v>
      </c>
      <c r="Z26">
        <f>IF($C26&lt;&gt;"",VLOOKUP($C26,授業リスト!$A:$Z,COLUMN(),FALSE),"")</f>
        <v>0</v>
      </c>
    </row>
    <row r="27" spans="1:26" ht="17">
      <c r="A27">
        <v>1</v>
      </c>
      <c r="B27" t="s">
        <v>47</v>
      </c>
      <c r="C27" s="87">
        <v>37454</v>
      </c>
      <c r="D27" t="str">
        <f>IF($C27&lt;&gt;"",VLOOKUP($C27,授業リスト!$A:$J,2,FALSE),"")</f>
        <v>Introduction to English Literature II</v>
      </c>
      <c r="E27" t="str">
        <f>IF($C27&lt;&gt;"",VLOOKUP($C27,授業リスト!$A:$J,3,FALSE),"")</f>
        <v/>
      </c>
      <c r="F27" t="str">
        <f>IF($C27&lt;&gt;"",VLOOKUP($C27,授業リスト!$A:$J,8,FALSE),"")</f>
        <v>Sir Francis Drake</v>
      </c>
      <c r="G27">
        <f>IF($C27&lt;&gt;"",VLOOKUP($C27,授業リスト!$A:$J,4,FALSE),"")</f>
        <v>2</v>
      </c>
      <c r="H27" t="str">
        <f>IF($C27&lt;&gt;"",VLOOKUP($C27,授業リスト!$A:$J,5,FALSE),"")</f>
        <v>後</v>
      </c>
      <c r="I27" t="str">
        <f>IF($C27&lt;&gt;"",VLOOKUP($C27,授業リスト!$A:$J,6,FALSE),"")</f>
        <v>水</v>
      </c>
      <c r="J27">
        <f>IF($C27&lt;&gt;"",VLOOKUP($C27,授業リスト!$A:$J,7,FALSE),"")</f>
        <v>3</v>
      </c>
      <c r="K27" s="30">
        <f>IF($C27&lt;&gt;"",VLOOKUP($C27,授業リスト!$A:$J,9,FALSE),"")</f>
        <v>1</v>
      </c>
      <c r="N27" t="str">
        <f>IF($C27&lt;&gt;"",VLOOKUP($C27,授業リスト!$A:$Z,COLUMN(),FALSE),"")</f>
        <v/>
      </c>
      <c r="O27" t="str">
        <f>IF($C27&lt;&gt;"",VLOOKUP($C27,授業リスト!$A:$Z,COLUMN(),FALSE),"")</f>
        <v>Y</v>
      </c>
      <c r="P27" t="str">
        <f>IF($C27&lt;&gt;"",VLOOKUP($C27,授業リスト!$A:$Z,COLUMN(),FALSE),"")</f>
        <v/>
      </c>
      <c r="Q27" t="str">
        <f>IF($C27&lt;&gt;"",VLOOKUP($C27,授業リスト!$A:$Z,COLUMN(),FALSE),"")</f>
        <v/>
      </c>
      <c r="R27" t="str">
        <f>IF($C27&lt;&gt;"",VLOOKUP($C27,授業リスト!$A:$Z,COLUMN(),FALSE),"")</f>
        <v/>
      </c>
      <c r="S27" t="str">
        <f>IF($C27&lt;&gt;"",VLOOKUP($C27,授業リスト!$A:$Z,COLUMN(),FALSE),"")</f>
        <v/>
      </c>
      <c r="T27" t="str">
        <f>IF($C27&lt;&gt;"",VLOOKUP($C27,授業リスト!$A:$Z,COLUMN(),FALSE),"")</f>
        <v/>
      </c>
      <c r="U27" t="str">
        <f>IF($C27&lt;&gt;"",VLOOKUP($C27,授業リスト!$A:$Z,COLUMN(),FALSE),"")</f>
        <v/>
      </c>
      <c r="V27" t="str">
        <f>IF($C27&lt;&gt;"",VLOOKUP($C27,授業リスト!$A:$Z,COLUMN(),FALSE),"")</f>
        <v/>
      </c>
      <c r="W27">
        <f>IF($C27&lt;&gt;"",VLOOKUP($C27,授業リスト!$A:$Z,COLUMN(),FALSE),"")</f>
        <v>0</v>
      </c>
      <c r="X27">
        <f>IF($C27&lt;&gt;"",VLOOKUP($C27,授業リスト!$A:$Z,COLUMN(),FALSE),"")</f>
        <v>0</v>
      </c>
      <c r="Y27">
        <f>IF($C27&lt;&gt;"",VLOOKUP($C27,授業リスト!$A:$Z,COLUMN(),FALSE),"")</f>
        <v>0</v>
      </c>
      <c r="Z27">
        <f>IF($C27&lt;&gt;"",VLOOKUP($C27,授業リスト!$A:$Z,COLUMN(),FALSE),"")</f>
        <v>0</v>
      </c>
    </row>
    <row r="28" spans="1:26" ht="17">
      <c r="A28">
        <v>1</v>
      </c>
      <c r="B28" t="s">
        <v>47</v>
      </c>
      <c r="C28" s="87">
        <v>37108</v>
      </c>
      <c r="D28" t="str">
        <f>IF($C28&lt;&gt;"",VLOOKUP($C28,授業リスト!$A:$J,2,FALSE),"")</f>
        <v>Gen Ed Sciences</v>
      </c>
      <c r="E28" t="str">
        <f>IF($C28&lt;&gt;"",VLOOKUP($C28,授業リスト!$A:$J,3,FALSE),"")</f>
        <v>Life and Poverty</v>
      </c>
      <c r="F28" t="str">
        <f>IF($C28&lt;&gt;"",VLOOKUP($C28,授業リスト!$A:$J,8,FALSE),"")</f>
        <v>Charles Darwin</v>
      </c>
      <c r="G28">
        <f>IF($C28&lt;&gt;"",VLOOKUP($C28,授業リスト!$A:$J,4,FALSE),"")</f>
        <v>2</v>
      </c>
      <c r="H28" t="str">
        <f>IF($C28&lt;&gt;"",VLOOKUP($C28,授業リスト!$A:$J,5,FALSE),"")</f>
        <v>後</v>
      </c>
      <c r="I28" t="str">
        <f>IF($C28&lt;&gt;"",VLOOKUP($C28,授業リスト!$A:$J,6,FALSE),"")</f>
        <v>木</v>
      </c>
      <c r="J28">
        <f>IF($C28&lt;&gt;"",VLOOKUP($C28,授業リスト!$A:$J,7,FALSE),"")</f>
        <v>1</v>
      </c>
      <c r="K28" s="30" t="str">
        <f>IF($C28&lt;&gt;"",VLOOKUP($C28,授業リスト!$A:$J,9,FALSE),"")</f>
        <v>1～2</v>
      </c>
      <c r="N28" t="str">
        <f>IF($C28&lt;&gt;"",VLOOKUP($C28,授業リスト!$A:$Z,COLUMN(),FALSE),"")</f>
        <v>Y</v>
      </c>
      <c r="O28" t="str">
        <f>IF($C28&lt;&gt;"",VLOOKUP($C28,授業リスト!$A:$Z,COLUMN(),FALSE),"")</f>
        <v/>
      </c>
      <c r="P28" t="str">
        <f>IF($C28&lt;&gt;"",VLOOKUP($C28,授業リスト!$A:$Z,COLUMN(),FALSE),"")</f>
        <v/>
      </c>
      <c r="Q28" t="str">
        <f>IF($C28&lt;&gt;"",VLOOKUP($C28,授業リスト!$A:$Z,COLUMN(),FALSE),"")</f>
        <v/>
      </c>
      <c r="R28" t="str">
        <f>IF($C28&lt;&gt;"",VLOOKUP($C28,授業リスト!$A:$Z,COLUMN(),FALSE),"")</f>
        <v/>
      </c>
      <c r="S28" t="str">
        <f>IF($C28&lt;&gt;"",VLOOKUP($C28,授業リスト!$A:$Z,COLUMN(),FALSE),"")</f>
        <v/>
      </c>
      <c r="T28" t="str">
        <f>IF($C28&lt;&gt;"",VLOOKUP($C28,授業リスト!$A:$Z,COLUMN(),FALSE),"")</f>
        <v/>
      </c>
      <c r="U28" t="str">
        <f>IF($C28&lt;&gt;"",VLOOKUP($C28,授業リスト!$A:$Z,COLUMN(),FALSE),"")</f>
        <v/>
      </c>
      <c r="V28" t="str">
        <f>IF($C28&lt;&gt;"",VLOOKUP($C28,授業リスト!$A:$Z,COLUMN(),FALSE),"")</f>
        <v/>
      </c>
      <c r="W28">
        <f>IF($C28&lt;&gt;"",VLOOKUP($C28,授業リスト!$A:$Z,COLUMN(),FALSE),"")</f>
        <v>0</v>
      </c>
      <c r="X28">
        <f>IF($C28&lt;&gt;"",VLOOKUP($C28,授業リスト!$A:$Z,COLUMN(),FALSE),"")</f>
        <v>0</v>
      </c>
      <c r="Y28">
        <f>IF($C28&lt;&gt;"",VLOOKUP($C28,授業リスト!$A:$Z,COLUMN(),FALSE),"")</f>
        <v>0</v>
      </c>
      <c r="Z28">
        <f>IF($C28&lt;&gt;"",VLOOKUP($C28,授業リスト!$A:$Z,COLUMN(),FALSE),"")</f>
        <v>0</v>
      </c>
    </row>
    <row r="29" spans="1:26" ht="17">
      <c r="A29">
        <v>1</v>
      </c>
      <c r="B29" t="s">
        <v>47</v>
      </c>
      <c r="C29" s="87">
        <v>37136</v>
      </c>
      <c r="D29" t="str">
        <f>IF($C29&lt;&gt;"",VLOOKUP($C29,授業リスト!$A:$J,2,FALSE),"")</f>
        <v>Korean II</v>
      </c>
      <c r="E29" t="str">
        <f>IF($C29&lt;&gt;"",VLOOKUP($C29,授業リスト!$A:$J,3,FALSE),"")</f>
        <v/>
      </c>
      <c r="F29" t="str">
        <f>IF($C29&lt;&gt;"",VLOOKUP($C29,授業リスト!$A:$J,8,FALSE),"")</f>
        <v>Guglielmo Marconi</v>
      </c>
      <c r="G29">
        <f>IF($C29&lt;&gt;"",VLOOKUP($C29,授業リスト!$A:$J,4,FALSE),"")</f>
        <v>2</v>
      </c>
      <c r="H29" t="str">
        <f>IF($C29&lt;&gt;"",VLOOKUP($C29,授業リスト!$A:$J,5,FALSE),"")</f>
        <v>後</v>
      </c>
      <c r="I29" t="str">
        <f>IF($C29&lt;&gt;"",VLOOKUP($C29,授業リスト!$A:$J,6,FALSE),"")</f>
        <v>火</v>
      </c>
      <c r="J29">
        <f>IF($C29&lt;&gt;"",VLOOKUP($C29,授業リスト!$A:$J,7,FALSE),"")</f>
        <v>1</v>
      </c>
      <c r="K29" s="30" t="str">
        <f>IF($C29&lt;&gt;"",VLOOKUP($C29,授業リスト!$A:$J,9,FALSE),"")</f>
        <v>1～2</v>
      </c>
      <c r="N29" t="str">
        <f>IF($C29&lt;&gt;"",VLOOKUP($C29,授業リスト!$A:$Z,COLUMN(),FALSE),"")</f>
        <v>Y</v>
      </c>
      <c r="O29" t="str">
        <f>IF($C29&lt;&gt;"",VLOOKUP($C29,授業リスト!$A:$Z,COLUMN(),FALSE),"")</f>
        <v/>
      </c>
      <c r="P29" t="str">
        <f>IF($C29&lt;&gt;"",VLOOKUP($C29,授業リスト!$A:$Z,COLUMN(),FALSE),"")</f>
        <v/>
      </c>
      <c r="Q29" t="str">
        <f>IF($C29&lt;&gt;"",VLOOKUP($C29,授業リスト!$A:$Z,COLUMN(),FALSE),"")</f>
        <v/>
      </c>
      <c r="R29" t="str">
        <f>IF($C29&lt;&gt;"",VLOOKUP($C29,授業リスト!$A:$Z,COLUMN(),FALSE),"")</f>
        <v/>
      </c>
      <c r="S29" t="str">
        <f>IF($C29&lt;&gt;"",VLOOKUP($C29,授業リスト!$A:$Z,COLUMN(),FALSE),"")</f>
        <v/>
      </c>
      <c r="T29" t="str">
        <f>IF($C29&lt;&gt;"",VLOOKUP($C29,授業リスト!$A:$Z,COLUMN(),FALSE),"")</f>
        <v/>
      </c>
      <c r="U29" t="str">
        <f>IF($C29&lt;&gt;"",VLOOKUP($C29,授業リスト!$A:$Z,COLUMN(),FALSE),"")</f>
        <v/>
      </c>
      <c r="V29" t="str">
        <f>IF($C29&lt;&gt;"",VLOOKUP($C29,授業リスト!$A:$Z,COLUMN(),FALSE),"")</f>
        <v/>
      </c>
      <c r="W29">
        <f>IF($C29&lt;&gt;"",VLOOKUP($C29,授業リスト!$A:$Z,COLUMN(),FALSE),"")</f>
        <v>0</v>
      </c>
      <c r="X29">
        <f>IF($C29&lt;&gt;"",VLOOKUP($C29,授業リスト!$A:$Z,COLUMN(),FALSE),"")</f>
        <v>0</v>
      </c>
      <c r="Y29">
        <f>IF($C29&lt;&gt;"",VLOOKUP($C29,授業リスト!$A:$Z,COLUMN(),FALSE),"")</f>
        <v>0</v>
      </c>
      <c r="Z29">
        <f>IF($C29&lt;&gt;"",VLOOKUP($C29,授業リスト!$A:$Z,COLUMN(),FALSE),"")</f>
        <v>0</v>
      </c>
    </row>
    <row r="30" spans="1:26" ht="17">
      <c r="A30">
        <v>1</v>
      </c>
      <c r="B30" t="s">
        <v>47</v>
      </c>
      <c r="C30" s="87">
        <v>37240</v>
      </c>
      <c r="D30" t="str">
        <f>IF($C30&lt;&gt;"",VLOOKUP($C30,授業リスト!$A:$J,2,FALSE),"")</f>
        <v>Development and Learning</v>
      </c>
      <c r="E30">
        <f>IF($C30&lt;&gt;"",VLOOKUP($C30,授業リスト!$A:$J,3,FALSE),"")</f>
        <v>0</v>
      </c>
      <c r="F30" t="str">
        <f>IF($C30&lt;&gt;"",VLOOKUP($C30,授業リスト!$A:$J,8,FALSE),"")</f>
        <v>Mark Twain</v>
      </c>
      <c r="G30">
        <f>IF($C30&lt;&gt;"",VLOOKUP($C30,授業リスト!$A:$J,4,FALSE),"")</f>
        <v>2</v>
      </c>
      <c r="H30" t="str">
        <f>IF($C30&lt;&gt;"",VLOOKUP($C30,授業リスト!$A:$J,5,FALSE),"")</f>
        <v>後</v>
      </c>
      <c r="I30" t="str">
        <f>IF($C30&lt;&gt;"",VLOOKUP($C30,授業リスト!$A:$J,6,FALSE),"")</f>
        <v>月</v>
      </c>
      <c r="J30">
        <f>IF($C30&lt;&gt;"",VLOOKUP($C30,授業リスト!$A:$J,7,FALSE),"")</f>
        <v>2</v>
      </c>
      <c r="K30" s="30">
        <f>IF($C30&lt;&gt;"",VLOOKUP($C30,授業リスト!$A:$J,9,FALSE),"")</f>
        <v>1</v>
      </c>
      <c r="N30" t="str">
        <f>IF($C30&lt;&gt;"",VLOOKUP($C30,授業リスト!$A:$Z,COLUMN(),FALSE),"")</f>
        <v/>
      </c>
      <c r="O30" t="str">
        <f>IF($C30&lt;&gt;"",VLOOKUP($C30,授業リスト!$A:$Z,COLUMN(),FALSE),"")</f>
        <v/>
      </c>
      <c r="P30" t="str">
        <f>IF($C30&lt;&gt;"",VLOOKUP($C30,授業リスト!$A:$Z,COLUMN(),FALSE),"")</f>
        <v>Y</v>
      </c>
      <c r="Q30" t="str">
        <f>IF($C30&lt;&gt;"",VLOOKUP($C30,授業リスト!$A:$Z,COLUMN(),FALSE),"")</f>
        <v>Y</v>
      </c>
      <c r="R30" t="str">
        <f>IF($C30&lt;&gt;"",VLOOKUP($C30,授業リスト!$A:$Z,COLUMN(),FALSE),"")</f>
        <v/>
      </c>
      <c r="S30" t="str">
        <f>IF($C30&lt;&gt;"",VLOOKUP($C30,授業リスト!$A:$Z,COLUMN(),FALSE),"")</f>
        <v/>
      </c>
      <c r="T30" t="str">
        <f>IF($C30&lt;&gt;"",VLOOKUP($C30,授業リスト!$A:$Z,COLUMN(),FALSE),"")</f>
        <v/>
      </c>
      <c r="U30" t="str">
        <f>IF($C30&lt;&gt;"",VLOOKUP($C30,授業リスト!$A:$Z,COLUMN(),FALSE),"")</f>
        <v/>
      </c>
      <c r="V30" t="str">
        <f>IF($C30&lt;&gt;"",VLOOKUP($C30,授業リスト!$A:$Z,COLUMN(),FALSE),"")</f>
        <v/>
      </c>
      <c r="W30">
        <f>IF($C30&lt;&gt;"",VLOOKUP($C30,授業リスト!$A:$Z,COLUMN(),FALSE),"")</f>
        <v>0</v>
      </c>
      <c r="X30">
        <f>IF($C30&lt;&gt;"",VLOOKUP($C30,授業リスト!$A:$Z,COLUMN(),FALSE),"")</f>
        <v>0</v>
      </c>
      <c r="Y30">
        <f>IF($C30&lt;&gt;"",VLOOKUP($C30,授業リスト!$A:$Z,COLUMN(),FALSE),"")</f>
        <v>0</v>
      </c>
      <c r="Z30">
        <f>IF($C30&lt;&gt;"",VLOOKUP($C30,授業リスト!$A:$Z,COLUMN(),FALSE),"")</f>
        <v>0</v>
      </c>
    </row>
    <row r="31" spans="1:26" ht="17">
      <c r="A31">
        <v>1</v>
      </c>
      <c r="B31" t="s">
        <v>47</v>
      </c>
      <c r="C31" s="87">
        <v>37487</v>
      </c>
      <c r="D31" t="str">
        <f>IF($C31&lt;&gt;"",VLOOKUP($C31,授業リスト!$A:$J,2,FALSE),"")</f>
        <v>English Teaching Methodologies</v>
      </c>
      <c r="E31">
        <f>IF($C31&lt;&gt;"",VLOOKUP($C31,授業リスト!$A:$J,3,FALSE),"")</f>
        <v>0</v>
      </c>
      <c r="F31" t="str">
        <f>IF($C31&lt;&gt;"",VLOOKUP($C31,授業リスト!$A:$J,8,FALSE),"")</f>
        <v>Ludwig van Beethoven</v>
      </c>
      <c r="G31">
        <f>IF($C31&lt;&gt;"",VLOOKUP($C31,授業リスト!$A:$J,4,FALSE),"")</f>
        <v>2</v>
      </c>
      <c r="H31" t="str">
        <f>IF($C31&lt;&gt;"",VLOOKUP($C31,授業リスト!$A:$J,5,FALSE),"")</f>
        <v>後</v>
      </c>
      <c r="I31" t="str">
        <f>IF($C31&lt;&gt;"",VLOOKUP($C31,授業リスト!$A:$J,6,FALSE),"")</f>
        <v>月</v>
      </c>
      <c r="J31">
        <f>IF($C31&lt;&gt;"",VLOOKUP($C31,授業リスト!$A:$J,7,FALSE),"")</f>
        <v>5</v>
      </c>
      <c r="K31" s="30" t="str">
        <f>IF($C31&lt;&gt;"",VLOOKUP($C31,授業リスト!$A:$J,9,FALSE),"")</f>
        <v>1～4</v>
      </c>
      <c r="N31" t="str">
        <f>IF($C31&lt;&gt;"",VLOOKUP($C31,授業リスト!$A:$Z,COLUMN(),FALSE),"")</f>
        <v/>
      </c>
      <c r="O31" t="str">
        <f>IF($C31&lt;&gt;"",VLOOKUP($C31,授業リスト!$A:$Z,COLUMN(),FALSE),"")</f>
        <v>Y</v>
      </c>
      <c r="P31" t="str">
        <f>IF($C31&lt;&gt;"",VLOOKUP($C31,授業リスト!$A:$Z,COLUMN(),FALSE),"")</f>
        <v/>
      </c>
      <c r="Q31" t="str">
        <f>IF($C31&lt;&gt;"",VLOOKUP($C31,授業リスト!$A:$Z,COLUMN(),FALSE),"")</f>
        <v/>
      </c>
      <c r="R31" t="str">
        <f>IF($C31&lt;&gt;"",VLOOKUP($C31,授業リスト!$A:$Z,COLUMN(),FALSE),"")</f>
        <v/>
      </c>
      <c r="S31" t="str">
        <f>IF($C31&lt;&gt;"",VLOOKUP($C31,授業リスト!$A:$Z,COLUMN(),FALSE),"")</f>
        <v/>
      </c>
      <c r="T31" t="str">
        <f>IF($C31&lt;&gt;"",VLOOKUP($C31,授業リスト!$A:$Z,COLUMN(),FALSE),"")</f>
        <v/>
      </c>
      <c r="U31" t="str">
        <f>IF($C31&lt;&gt;"",VLOOKUP($C31,授業リスト!$A:$Z,COLUMN(),FALSE),"")</f>
        <v/>
      </c>
      <c r="V31" t="str">
        <f>IF($C31&lt;&gt;"",VLOOKUP($C31,授業リスト!$A:$Z,COLUMN(),FALSE),"")</f>
        <v/>
      </c>
      <c r="W31">
        <f>IF($C31&lt;&gt;"",VLOOKUP($C31,授業リスト!$A:$Z,COLUMN(),FALSE),"")</f>
        <v>0</v>
      </c>
      <c r="X31">
        <f>IF($C31&lt;&gt;"",VLOOKUP($C31,授業リスト!$A:$Z,COLUMN(),FALSE),"")</f>
        <v>0</v>
      </c>
      <c r="Y31">
        <f>IF($C31&lt;&gt;"",VLOOKUP($C31,授業リスト!$A:$Z,COLUMN(),FALSE),"")</f>
        <v>0</v>
      </c>
      <c r="Z31">
        <f>IF($C31&lt;&gt;"",VLOOKUP($C31,授業リスト!$A:$Z,COLUMN(),FALSE),"")</f>
        <v>0</v>
      </c>
    </row>
    <row r="32" spans="1:26" ht="17">
      <c r="A32">
        <v>1</v>
      </c>
      <c r="B32" t="s">
        <v>47</v>
      </c>
      <c r="C32" s="87">
        <v>38102</v>
      </c>
      <c r="D32" t="str">
        <f>IF($C32&lt;&gt;"",VLOOKUP($C32,授業リスト!$A:$J,2,FALSE),"")</f>
        <v>School Education Practice and Reflection I</v>
      </c>
      <c r="E32">
        <f>IF($C32&lt;&gt;"",VLOOKUP($C32,授業リスト!$A:$J,3,FALSE),"")</f>
        <v>0</v>
      </c>
      <c r="F32" t="str">
        <f>IF($C32&lt;&gt;"",VLOOKUP($C32,授業リスト!$A:$J,8,FALSE),"")</f>
        <v>Johann Wolfgang von Goethe</v>
      </c>
      <c r="G32">
        <f>IF($C32&lt;&gt;"",VLOOKUP($C32,授業リスト!$A:$J,4,FALSE),"")</f>
        <v>2</v>
      </c>
      <c r="H32" t="str">
        <f>IF($C32&lt;&gt;"",VLOOKUP($C32,授業リスト!$A:$J,5,FALSE),"")</f>
        <v>通年</v>
      </c>
      <c r="I32" t="str">
        <f>IF($C32&lt;&gt;"",VLOOKUP($C32,授業リスト!$A:$J,6,FALSE),"")</f>
        <v>金</v>
      </c>
      <c r="J32" t="str">
        <f>IF($C32&lt;&gt;"",VLOOKUP($C32,授業リスト!$A:$J,7,FALSE),"")</f>
        <v>1-2</v>
      </c>
      <c r="K32" s="30">
        <f>IF($C32&lt;&gt;"",VLOOKUP($C32,授業リスト!$A:$J,9,FALSE),"")</f>
        <v>1</v>
      </c>
      <c r="N32" t="str">
        <f>IF($C32&lt;&gt;"",VLOOKUP($C32,授業リスト!$A:$Z,COLUMN(),FALSE),"")</f>
        <v/>
      </c>
      <c r="O32" t="str">
        <f>IF($C32&lt;&gt;"",VLOOKUP($C32,授業リスト!$A:$Z,COLUMN(),FALSE),"")</f>
        <v/>
      </c>
      <c r="P32" t="str">
        <f>IF($C32&lt;&gt;"",VLOOKUP($C32,授業リスト!$A:$Z,COLUMN(),FALSE),"")</f>
        <v>Y</v>
      </c>
      <c r="Q32" t="str">
        <f>IF($C32&lt;&gt;"",VLOOKUP($C32,授業リスト!$A:$Z,COLUMN(),FALSE),"")</f>
        <v/>
      </c>
      <c r="R32" t="str">
        <f>IF($C32&lt;&gt;"",VLOOKUP($C32,授業リスト!$A:$Z,COLUMN(),FALSE),"")</f>
        <v>Y</v>
      </c>
      <c r="S32" t="str">
        <f>IF($C32&lt;&gt;"",VLOOKUP($C32,授業リスト!$A:$Z,COLUMN(),FALSE),"")</f>
        <v/>
      </c>
      <c r="T32" t="str">
        <f>IF($C32&lt;&gt;"",VLOOKUP($C32,授業リスト!$A:$Z,COLUMN(),FALSE),"")</f>
        <v/>
      </c>
      <c r="U32" t="str">
        <f>IF($C32&lt;&gt;"",VLOOKUP($C32,授業リスト!$A:$Z,COLUMN(),FALSE),"")</f>
        <v/>
      </c>
      <c r="V32" t="str">
        <f>IF($C32&lt;&gt;"",VLOOKUP($C32,授業リスト!$A:$Z,COLUMN(),FALSE),"")</f>
        <v/>
      </c>
      <c r="W32">
        <f>IF($C32&lt;&gt;"",VLOOKUP($C32,授業リスト!$A:$Z,COLUMN(),FALSE),"")</f>
        <v>0</v>
      </c>
      <c r="X32">
        <f>IF($C32&lt;&gt;"",VLOOKUP($C32,授業リスト!$A:$Z,COLUMN(),FALSE),"")</f>
        <v>0</v>
      </c>
      <c r="Y32">
        <f>IF($C32&lt;&gt;"",VLOOKUP($C32,授業リスト!$A:$Z,COLUMN(),FALSE),"")</f>
        <v>0</v>
      </c>
      <c r="Z32">
        <f>IF($C32&lt;&gt;"",VLOOKUP($C32,授業リスト!$A:$Z,COLUMN(),FALSE),"")</f>
        <v>0</v>
      </c>
    </row>
    <row r="33" spans="1:26" ht="17">
      <c r="A33">
        <v>1</v>
      </c>
      <c r="B33" t="s">
        <v>47</v>
      </c>
      <c r="C33" s="87">
        <v>38071</v>
      </c>
      <c r="D33" t="str">
        <f>IF($C33&lt;&gt;"",VLOOKUP($C33,授業リスト!$A:$J,2,FALSE),"")</f>
        <v>Business Writing</v>
      </c>
      <c r="E33">
        <f>IF($C33&lt;&gt;"",VLOOKUP($C33,授業リスト!$A:$J,3,FALSE),"")</f>
        <v>0</v>
      </c>
      <c r="F33" t="str">
        <f>IF($C33&lt;&gt;"",VLOOKUP($C33,授業リスト!$A:$J,8,FALSE),"")</f>
        <v>Lewis Carroll</v>
      </c>
      <c r="G33">
        <f>IF($C33&lt;&gt;"",VLOOKUP($C33,授業リスト!$A:$J,4,FALSE),"")</f>
        <v>2</v>
      </c>
      <c r="H33" t="str">
        <f>IF($C33&lt;&gt;"",VLOOKUP($C33,授業リスト!$A:$J,5,FALSE),"")</f>
        <v>後</v>
      </c>
      <c r="I33" t="str">
        <f>IF($C33&lt;&gt;"",VLOOKUP($C33,授業リスト!$A:$J,6,FALSE),"")</f>
        <v>火</v>
      </c>
      <c r="J33">
        <f>IF($C33&lt;&gt;"",VLOOKUP($C33,授業リスト!$A:$J,7,FALSE),"")</f>
        <v>4</v>
      </c>
      <c r="K33" s="30" t="str">
        <f>IF($C33&lt;&gt;"",VLOOKUP($C33,授業リスト!$A:$J,9,FALSE),"")</f>
        <v>1～4</v>
      </c>
      <c r="N33" t="str">
        <f>IF($C33&lt;&gt;"",VLOOKUP($C33,授業リスト!$A:$Z,COLUMN(),FALSE),"")</f>
        <v/>
      </c>
      <c r="O33" t="str">
        <f>IF($C33&lt;&gt;"",VLOOKUP($C33,授業リスト!$A:$Z,COLUMN(),FALSE),"")</f>
        <v/>
      </c>
      <c r="P33" t="str">
        <f>IF($C33&lt;&gt;"",VLOOKUP($C33,授業リスト!$A:$Z,COLUMN(),FALSE),"")</f>
        <v/>
      </c>
      <c r="Q33" t="str">
        <f>IF($C33&lt;&gt;"",VLOOKUP($C33,授業リスト!$A:$Z,COLUMN(),FALSE),"")</f>
        <v/>
      </c>
      <c r="R33" t="str">
        <f>IF($C33&lt;&gt;"",VLOOKUP($C33,授業リスト!$A:$Z,COLUMN(),FALSE),"")</f>
        <v/>
      </c>
      <c r="S33" t="str">
        <f>IF($C33&lt;&gt;"",VLOOKUP($C33,授業リスト!$A:$Z,COLUMN(),FALSE),"")</f>
        <v/>
      </c>
      <c r="T33" t="str">
        <f>IF($C33&lt;&gt;"",VLOOKUP($C33,授業リスト!$A:$Z,COLUMN(),FALSE),"")</f>
        <v/>
      </c>
      <c r="U33" t="str">
        <f>IF($C33&lt;&gt;"",VLOOKUP($C33,授業リスト!$A:$Z,COLUMN(),FALSE),"")</f>
        <v/>
      </c>
      <c r="V33" t="str">
        <f>IF($C33&lt;&gt;"",VLOOKUP($C33,授業リスト!$A:$Z,COLUMN(),FALSE),"")</f>
        <v/>
      </c>
      <c r="W33">
        <f>IF($C33&lt;&gt;"",VLOOKUP($C33,授業リスト!$A:$Z,COLUMN(),FALSE),"")</f>
        <v>0</v>
      </c>
      <c r="X33">
        <f>IF($C33&lt;&gt;"",VLOOKUP($C33,授業リスト!$A:$Z,COLUMN(),FALSE),"")</f>
        <v>0</v>
      </c>
      <c r="Y33">
        <f>IF($C33&lt;&gt;"",VLOOKUP($C33,授業リスト!$A:$Z,COLUMN(),FALSE),"")</f>
        <v>0</v>
      </c>
      <c r="Z33">
        <f>IF($C33&lt;&gt;"",VLOOKUP($C33,授業リスト!$A:$Z,COLUMN(),FALSE),"")</f>
        <v>0</v>
      </c>
    </row>
    <row r="34" spans="1:26" ht="17">
      <c r="A34">
        <v>1</v>
      </c>
      <c r="B34" t="s">
        <v>47</v>
      </c>
      <c r="C34" s="87">
        <v>83002</v>
      </c>
      <c r="D34" t="str">
        <f>IF($C34&lt;&gt;"",VLOOKUP($C34,授業リスト!$A:$J,2,FALSE),"")</f>
        <v>Independent Study</v>
      </c>
      <c r="E34">
        <f>IF($C34&lt;&gt;"",VLOOKUP($C34,授業リスト!$A:$J,3,FALSE),"")</f>
        <v>0</v>
      </c>
      <c r="F34" t="str">
        <f>IF($C34&lt;&gt;"",VLOOKUP($C34,授業リスト!$A:$J,8,FALSE),"")</f>
        <v>Sir Isaac Newton</v>
      </c>
      <c r="G34">
        <f>IF($C34&lt;&gt;"",VLOOKUP($C34,授業リスト!$A:$J,4,FALSE),"")</f>
        <v>0</v>
      </c>
      <c r="H34" t="str">
        <f>IF($C34&lt;&gt;"",VLOOKUP($C34,授業リスト!$A:$J,5,FALSE),"")</f>
        <v>後</v>
      </c>
      <c r="I34" t="str">
        <f>IF($C34&lt;&gt;"",VLOOKUP($C34,授業リスト!$A:$J,6,FALSE),"")</f>
        <v>集中</v>
      </c>
      <c r="J34">
        <f>IF($C34&lt;&gt;"",VLOOKUP($C34,授業リスト!$A:$J,7,FALSE),"")</f>
        <v>0</v>
      </c>
      <c r="K34" s="30">
        <f>IF($C34&lt;&gt;"",VLOOKUP($C34,授業リスト!$A:$J,9,FALSE),"")</f>
        <v>1</v>
      </c>
      <c r="N34">
        <f>IF($C34&lt;&gt;"",VLOOKUP($C34,授業リスト!$A:$Z,COLUMN(),FALSE),"")</f>
        <v>0</v>
      </c>
      <c r="O34">
        <f>IF($C34&lt;&gt;"",VLOOKUP($C34,授業リスト!$A:$Z,COLUMN(),FALSE),"")</f>
        <v>0</v>
      </c>
      <c r="P34">
        <f>IF($C34&lt;&gt;"",VLOOKUP($C34,授業リスト!$A:$Z,COLUMN(),FALSE),"")</f>
        <v>0</v>
      </c>
      <c r="Q34">
        <f>IF($C34&lt;&gt;"",VLOOKUP($C34,授業リスト!$A:$Z,COLUMN(),FALSE),"")</f>
        <v>0</v>
      </c>
      <c r="R34">
        <f>IF($C34&lt;&gt;"",VLOOKUP($C34,授業リスト!$A:$Z,COLUMN(),FALSE),"")</f>
        <v>0</v>
      </c>
      <c r="S34">
        <f>IF($C34&lt;&gt;"",VLOOKUP($C34,授業リスト!$A:$Z,COLUMN(),FALSE),"")</f>
        <v>0</v>
      </c>
      <c r="T34">
        <f>IF($C34&lt;&gt;"",VLOOKUP($C34,授業リスト!$A:$Z,COLUMN(),FALSE),"")</f>
        <v>0</v>
      </c>
      <c r="U34">
        <f>IF($C34&lt;&gt;"",VLOOKUP($C34,授業リスト!$A:$Z,COLUMN(),FALSE),"")</f>
        <v>0</v>
      </c>
      <c r="V34">
        <f>IF($C34&lt;&gt;"",VLOOKUP($C34,授業リスト!$A:$Z,COLUMN(),FALSE),"")</f>
        <v>0</v>
      </c>
      <c r="W34">
        <f>IF($C34&lt;&gt;"",VLOOKUP($C34,授業リスト!$A:$Z,COLUMN(),FALSE),"")</f>
        <v>0</v>
      </c>
      <c r="X34">
        <f>IF($C34&lt;&gt;"",VLOOKUP($C34,授業リスト!$A:$Z,COLUMN(),FALSE),"")</f>
        <v>0</v>
      </c>
      <c r="Y34">
        <f>IF($C34&lt;&gt;"",VLOOKUP($C34,授業リスト!$A:$Z,COLUMN(),FALSE),"")</f>
        <v>0</v>
      </c>
      <c r="Z34">
        <f>IF($C34&lt;&gt;"",VLOOKUP($C34,授業リスト!$A:$Z,COLUMN(),FALSE),"")</f>
        <v>0</v>
      </c>
    </row>
    <row r="35" spans="1:26" ht="17">
      <c r="A35" s="37">
        <v>2</v>
      </c>
      <c r="B35" s="37" t="s">
        <v>69</v>
      </c>
      <c r="C35" s="84">
        <v>37242</v>
      </c>
      <c r="D35" s="37" t="str">
        <f>IF($C35&lt;&gt;"",VLOOKUP($C35,授業リスト!$A:$J,2,FALSE),"")</f>
        <v>Special Education</v>
      </c>
      <c r="E35" s="37">
        <f>IF($C35&lt;&gt;"",VLOOKUP($C35,授業リスト!$A:$J,3,FALSE),"")</f>
        <v>0</v>
      </c>
      <c r="F35" s="37" t="str">
        <f>IF($C35&lt;&gt;"",VLOOKUP($C35,授業リスト!$A:$J,8,FALSE),"")</f>
        <v>Ernest Hemingway</v>
      </c>
      <c r="G35" s="37">
        <f>IF($C35&lt;&gt;"",VLOOKUP($C35,授業リスト!$A:$J,4,FALSE),"")</f>
        <v>2</v>
      </c>
      <c r="H35" s="37" t="str">
        <f>IF($C35&lt;&gt;"",VLOOKUP($C35,授業リスト!$A:$J,5,FALSE),"")</f>
        <v>前</v>
      </c>
      <c r="I35" s="37" t="str">
        <f>IF($C35&lt;&gt;"",VLOOKUP($C35,授業リスト!$A:$J,6,FALSE),"")</f>
        <v>金</v>
      </c>
      <c r="J35" s="37">
        <f>IF($C35&lt;&gt;"",VLOOKUP($C35,授業リスト!$A:$J,7,FALSE),"")</f>
        <v>3</v>
      </c>
      <c r="K35" s="38">
        <f>IF($C35&lt;&gt;"",VLOOKUP($C35,授業リスト!$A:$J,9,FALSE),"")</f>
        <v>2</v>
      </c>
      <c r="N35" t="str">
        <f>IF($C35&lt;&gt;"",VLOOKUP($C35,授業リスト!$A:$Z,COLUMN(),FALSE),"")</f>
        <v/>
      </c>
      <c r="O35" t="str">
        <f>IF($C35&lt;&gt;"",VLOOKUP($C35,授業リスト!$A:$Z,COLUMN(),FALSE),"")</f>
        <v/>
      </c>
      <c r="P35" t="str">
        <f>IF($C35&lt;&gt;"",VLOOKUP($C35,授業リスト!$A:$Z,COLUMN(),FALSE),"")</f>
        <v/>
      </c>
      <c r="Q35" t="str">
        <f>IF($C35&lt;&gt;"",VLOOKUP($C35,授業リスト!$A:$Z,COLUMN(),FALSE),"")</f>
        <v>Y</v>
      </c>
      <c r="R35" t="str">
        <f>IF($C35&lt;&gt;"",VLOOKUP($C35,授業リスト!$A:$Z,COLUMN(),FALSE),"")</f>
        <v/>
      </c>
      <c r="S35" t="str">
        <f>IF($C35&lt;&gt;"",VLOOKUP($C35,授業リスト!$A:$Z,COLUMN(),FALSE),"")</f>
        <v/>
      </c>
      <c r="T35" t="str">
        <f>IF($C35&lt;&gt;"",VLOOKUP($C35,授業リスト!$A:$Z,COLUMN(),FALSE),"")</f>
        <v/>
      </c>
      <c r="U35" t="str">
        <f>IF($C35&lt;&gt;"",VLOOKUP($C35,授業リスト!$A:$Z,COLUMN(),FALSE),"")</f>
        <v/>
      </c>
      <c r="V35" t="str">
        <f>IF($C35&lt;&gt;"",VLOOKUP($C35,授業リスト!$A:$Z,COLUMN(),FALSE),"")</f>
        <v/>
      </c>
      <c r="W35">
        <f>IF($C35&lt;&gt;"",VLOOKUP($C35,授業リスト!$A:$Z,COLUMN(),FALSE),"")</f>
        <v>0</v>
      </c>
      <c r="X35">
        <f>IF($C35&lt;&gt;"",VLOOKUP($C35,授業リスト!$A:$Z,COLUMN(),FALSE),"")</f>
        <v>0</v>
      </c>
      <c r="Y35">
        <f>IF($C35&lt;&gt;"",VLOOKUP($C35,授業リスト!$A:$Z,COLUMN(),FALSE),"")</f>
        <v>0</v>
      </c>
      <c r="Z35">
        <f>IF($C35&lt;&gt;"",VLOOKUP($C35,授業リスト!$A:$Z,COLUMN(),FALSE),"")</f>
        <v>0</v>
      </c>
    </row>
    <row r="36" spans="1:26" ht="17">
      <c r="A36" s="37">
        <v>2</v>
      </c>
      <c r="B36" s="37" t="s">
        <v>69</v>
      </c>
      <c r="C36" s="84">
        <v>37462</v>
      </c>
      <c r="D36" s="37" t="str">
        <f>IF($C36&lt;&gt;"",VLOOKUP($C36,授業リスト!$A:$J,2,FALSE),"")</f>
        <v>Intercultural Understanding I</v>
      </c>
      <c r="E36" s="37" t="str">
        <f>IF($C36&lt;&gt;"",VLOOKUP($C36,授業リスト!$A:$J,3,FALSE),"")</f>
        <v/>
      </c>
      <c r="F36" s="37" t="str">
        <f>IF($C36&lt;&gt;"",VLOOKUP($C36,授業リスト!$A:$J,8,FALSE),"")</f>
        <v>Antoine de Saint-Exupéry</v>
      </c>
      <c r="G36" s="37">
        <f>IF($C36&lt;&gt;"",VLOOKUP($C36,授業リスト!$A:$J,4,FALSE),"")</f>
        <v>2</v>
      </c>
      <c r="H36" s="37" t="str">
        <f>IF($C36&lt;&gt;"",VLOOKUP($C36,授業リスト!$A:$J,5,FALSE),"")</f>
        <v>前</v>
      </c>
      <c r="I36" s="37" t="str">
        <f>IF($C36&lt;&gt;"",VLOOKUP($C36,授業リスト!$A:$J,6,FALSE),"")</f>
        <v>月</v>
      </c>
      <c r="J36" s="37">
        <f>IF($C36&lt;&gt;"",VLOOKUP($C36,授業リスト!$A:$J,7,FALSE),"")</f>
        <v>5</v>
      </c>
      <c r="K36" s="38" t="str">
        <f>IF($C36&lt;&gt;"",VLOOKUP($C36,授業リスト!$A:$J,9,FALSE),"")</f>
        <v>2～4</v>
      </c>
      <c r="N36" t="str">
        <f>IF($C36&lt;&gt;"",VLOOKUP($C36,授業リスト!$A:$Z,COLUMN(),FALSE),"")</f>
        <v/>
      </c>
      <c r="O36" t="str">
        <f>IF($C36&lt;&gt;"",VLOOKUP($C36,授業リスト!$A:$Z,COLUMN(),FALSE),"")</f>
        <v>Y</v>
      </c>
      <c r="P36" t="str">
        <f>IF($C36&lt;&gt;"",VLOOKUP($C36,授業リスト!$A:$Z,COLUMN(),FALSE),"")</f>
        <v/>
      </c>
      <c r="Q36" t="str">
        <f>IF($C36&lt;&gt;"",VLOOKUP($C36,授業リスト!$A:$Z,COLUMN(),FALSE),"")</f>
        <v/>
      </c>
      <c r="R36" t="str">
        <f>IF($C36&lt;&gt;"",VLOOKUP($C36,授業リスト!$A:$Z,COLUMN(),FALSE),"")</f>
        <v/>
      </c>
      <c r="S36" t="str">
        <f>IF($C36&lt;&gt;"",VLOOKUP($C36,授業リスト!$A:$Z,COLUMN(),FALSE),"")</f>
        <v/>
      </c>
      <c r="T36" t="str">
        <f>IF($C36&lt;&gt;"",VLOOKUP($C36,授業リスト!$A:$Z,COLUMN(),FALSE),"")</f>
        <v/>
      </c>
      <c r="U36" t="str">
        <f>IF($C36&lt;&gt;"",VLOOKUP($C36,授業リスト!$A:$Z,COLUMN(),FALSE),"")</f>
        <v/>
      </c>
      <c r="V36" t="str">
        <f>IF($C36&lt;&gt;"",VLOOKUP($C36,授業リスト!$A:$Z,COLUMN(),FALSE),"")</f>
        <v/>
      </c>
      <c r="W36">
        <f>IF($C36&lt;&gt;"",VLOOKUP($C36,授業リスト!$A:$Z,COLUMN(),FALSE),"")</f>
        <v>0</v>
      </c>
      <c r="X36">
        <f>IF($C36&lt;&gt;"",VLOOKUP($C36,授業リスト!$A:$Z,COLUMN(),FALSE),"")</f>
        <v>0</v>
      </c>
      <c r="Y36">
        <f>IF($C36&lt;&gt;"",VLOOKUP($C36,授業リスト!$A:$Z,COLUMN(),FALSE),"")</f>
        <v>0</v>
      </c>
      <c r="Z36">
        <f>IF($C36&lt;&gt;"",VLOOKUP($C36,授業リスト!$A:$Z,COLUMN(),FALSE),"")</f>
        <v>0</v>
      </c>
    </row>
    <row r="37" spans="1:26" ht="17">
      <c r="A37" s="37">
        <v>2</v>
      </c>
      <c r="B37" s="37" t="s">
        <v>69</v>
      </c>
      <c r="C37" s="84">
        <v>37451</v>
      </c>
      <c r="D37" s="37" t="str">
        <f>IF($C37&lt;&gt;"",VLOOKUP($C37,授業リスト!$A:$J,2,FALSE),"")</f>
        <v>Introduction to English Linguistics II</v>
      </c>
      <c r="E37" s="37" t="str">
        <f>IF($C37&lt;&gt;"",VLOOKUP($C37,授業リスト!$A:$J,3,FALSE),"")</f>
        <v/>
      </c>
      <c r="F37" s="37" t="str">
        <f>IF($C37&lt;&gt;"",VLOOKUP($C37,授業リスト!$A:$J,8,FALSE),"")</f>
        <v>Marco Polo</v>
      </c>
      <c r="G37" s="37">
        <f>IF($C37&lt;&gt;"",VLOOKUP($C37,授業リスト!$A:$J,4,FALSE),"")</f>
        <v>2</v>
      </c>
      <c r="H37" s="37" t="str">
        <f>IF($C37&lt;&gt;"",VLOOKUP($C37,授業リスト!$A:$J,5,FALSE),"")</f>
        <v>前</v>
      </c>
      <c r="I37" s="37" t="str">
        <f>IF($C37&lt;&gt;"",VLOOKUP($C37,授業リスト!$A:$J,6,FALSE),"")</f>
        <v>水</v>
      </c>
      <c r="J37" s="37">
        <f>IF($C37&lt;&gt;"",VLOOKUP($C37,授業リスト!$A:$J,7,FALSE),"")</f>
        <v>5</v>
      </c>
      <c r="K37" s="38">
        <f>IF($C37&lt;&gt;"",VLOOKUP($C37,授業リスト!$A:$J,9,FALSE),"")</f>
        <v>2</v>
      </c>
      <c r="N37" t="str">
        <f>IF($C37&lt;&gt;"",VLOOKUP($C37,授業リスト!$A:$Z,COLUMN(),FALSE),"")</f>
        <v/>
      </c>
      <c r="O37" t="str">
        <f>IF($C37&lt;&gt;"",VLOOKUP($C37,授業リスト!$A:$Z,COLUMN(),FALSE),"")</f>
        <v>Y</v>
      </c>
      <c r="P37" t="str">
        <f>IF($C37&lt;&gt;"",VLOOKUP($C37,授業リスト!$A:$Z,COLUMN(),FALSE),"")</f>
        <v/>
      </c>
      <c r="Q37" t="str">
        <f>IF($C37&lt;&gt;"",VLOOKUP($C37,授業リスト!$A:$Z,COLUMN(),FALSE),"")</f>
        <v/>
      </c>
      <c r="R37" t="str">
        <f>IF($C37&lt;&gt;"",VLOOKUP($C37,授業リスト!$A:$Z,COLUMN(),FALSE),"")</f>
        <v/>
      </c>
      <c r="S37" t="str">
        <f>IF($C37&lt;&gt;"",VLOOKUP($C37,授業リスト!$A:$Z,COLUMN(),FALSE),"")</f>
        <v/>
      </c>
      <c r="T37" t="str">
        <f>IF($C37&lt;&gt;"",VLOOKUP($C37,授業リスト!$A:$Z,COLUMN(),FALSE),"")</f>
        <v/>
      </c>
      <c r="U37" t="str">
        <f>IF($C37&lt;&gt;"",VLOOKUP($C37,授業リスト!$A:$Z,COLUMN(),FALSE),"")</f>
        <v/>
      </c>
      <c r="V37" t="str">
        <f>IF($C37&lt;&gt;"",VLOOKUP($C37,授業リスト!$A:$Z,COLUMN(),FALSE),"")</f>
        <v/>
      </c>
      <c r="W37">
        <f>IF($C37&lt;&gt;"",VLOOKUP($C37,授業リスト!$A:$Z,COLUMN(),FALSE),"")</f>
        <v>0</v>
      </c>
      <c r="X37">
        <f>IF($C37&lt;&gt;"",VLOOKUP($C37,授業リスト!$A:$Z,COLUMN(),FALSE),"")</f>
        <v>0</v>
      </c>
      <c r="Y37">
        <f>IF($C37&lt;&gt;"",VLOOKUP($C37,授業リスト!$A:$Z,COLUMN(),FALSE),"")</f>
        <v>0</v>
      </c>
      <c r="Z37">
        <f>IF($C37&lt;&gt;"",VLOOKUP($C37,授業リスト!$A:$Z,COLUMN(),FALSE),"")</f>
        <v>0</v>
      </c>
    </row>
    <row r="38" spans="1:26" ht="17">
      <c r="A38" s="37">
        <v>2</v>
      </c>
      <c r="B38" s="37" t="s">
        <v>69</v>
      </c>
      <c r="C38" s="84">
        <v>37097</v>
      </c>
      <c r="D38" s="37" t="str">
        <f>IF($C38&lt;&gt;"",VLOOKUP($C38,授業リスト!$A:$J,2,FALSE),"")</f>
        <v>Gen Ed Humanities</v>
      </c>
      <c r="E38" s="37" t="str">
        <f>IF($C38&lt;&gt;"",VLOOKUP($C38,授業リスト!$A:$J,3,FALSE),"")</f>
        <v>Literature B</v>
      </c>
      <c r="F38" s="37" t="str">
        <f>IF($C38&lt;&gt;"",VLOOKUP($C38,授業リスト!$A:$J,8,FALSE),"")</f>
        <v>Emily Dickinson</v>
      </c>
      <c r="G38" s="37">
        <f>IF($C38&lt;&gt;"",VLOOKUP($C38,授業リスト!$A:$J,4,FALSE),"")</f>
        <v>2</v>
      </c>
      <c r="H38" s="37" t="str">
        <f>IF($C38&lt;&gt;"",VLOOKUP($C38,授業リスト!$A:$J,5,FALSE),"")</f>
        <v>前</v>
      </c>
      <c r="I38" s="37" t="str">
        <f>IF($C38&lt;&gt;"",VLOOKUP($C38,授業リスト!$A:$J,6,FALSE),"")</f>
        <v>火</v>
      </c>
      <c r="J38" s="37">
        <f>IF($C38&lt;&gt;"",VLOOKUP($C38,授業リスト!$A:$J,7,FALSE),"")</f>
        <v>1</v>
      </c>
      <c r="K38" s="38" t="str">
        <f>IF($C38&lt;&gt;"",VLOOKUP($C38,授業リスト!$A:$J,9,FALSE),"")</f>
        <v>1～2</v>
      </c>
      <c r="N38" t="str">
        <f>IF($C38&lt;&gt;"",VLOOKUP($C38,授業リスト!$A:$Z,COLUMN(),FALSE),"")</f>
        <v>Y</v>
      </c>
      <c r="O38" t="str">
        <f>IF($C38&lt;&gt;"",VLOOKUP($C38,授業リスト!$A:$Z,COLUMN(),FALSE),"")</f>
        <v/>
      </c>
      <c r="P38" t="str">
        <f>IF($C38&lt;&gt;"",VLOOKUP($C38,授業リスト!$A:$Z,COLUMN(),FALSE),"")</f>
        <v/>
      </c>
      <c r="Q38" t="str">
        <f>IF($C38&lt;&gt;"",VLOOKUP($C38,授業リスト!$A:$Z,COLUMN(),FALSE),"")</f>
        <v/>
      </c>
      <c r="R38" t="str">
        <f>IF($C38&lt;&gt;"",VLOOKUP($C38,授業リスト!$A:$Z,COLUMN(),FALSE),"")</f>
        <v/>
      </c>
      <c r="S38" t="str">
        <f>IF($C38&lt;&gt;"",VLOOKUP($C38,授業リスト!$A:$Z,COLUMN(),FALSE),"")</f>
        <v/>
      </c>
      <c r="T38" t="str">
        <f>IF($C38&lt;&gt;"",VLOOKUP($C38,授業リスト!$A:$Z,COLUMN(),FALSE),"")</f>
        <v/>
      </c>
      <c r="U38" t="str">
        <f>IF($C38&lt;&gt;"",VLOOKUP($C38,授業リスト!$A:$Z,COLUMN(),FALSE),"")</f>
        <v/>
      </c>
      <c r="V38" t="str">
        <f>IF($C38&lt;&gt;"",VLOOKUP($C38,授業リスト!$A:$Z,COLUMN(),FALSE),"")</f>
        <v/>
      </c>
      <c r="W38">
        <f>IF($C38&lt;&gt;"",VLOOKUP($C38,授業リスト!$A:$Z,COLUMN(),FALSE),"")</f>
        <v>0</v>
      </c>
      <c r="X38">
        <f>IF($C38&lt;&gt;"",VLOOKUP($C38,授業リスト!$A:$Z,COLUMN(),FALSE),"")</f>
        <v>0</v>
      </c>
      <c r="Y38">
        <f>IF($C38&lt;&gt;"",VLOOKUP($C38,授業リスト!$A:$Z,COLUMN(),FALSE),"")</f>
        <v>0</v>
      </c>
      <c r="Z38">
        <f>IF($C38&lt;&gt;"",VLOOKUP($C38,授業リスト!$A:$Z,COLUMN(),FALSE),"")</f>
        <v>0</v>
      </c>
    </row>
    <row r="39" spans="1:26" ht="17">
      <c r="A39" s="37">
        <v>2</v>
      </c>
      <c r="B39" s="37" t="s">
        <v>69</v>
      </c>
      <c r="C39" s="84">
        <v>37250</v>
      </c>
      <c r="D39" s="37" t="str">
        <f>IF($C39&lt;&gt;"",VLOOKUP($C39,授業リスト!$A:$J,2,FALSE),"")</f>
        <v>Theory and Methods of Student Guidance and Career Counseling</v>
      </c>
      <c r="E39" s="37">
        <f>IF($C39&lt;&gt;"",VLOOKUP($C39,授業リスト!$A:$J,3,FALSE),"")</f>
        <v>0</v>
      </c>
      <c r="F39" s="37" t="str">
        <f>IF($C39&lt;&gt;"",VLOOKUP($C39,授業リスト!$A:$J,8,FALSE),"")</f>
        <v>Florence Nightingale</v>
      </c>
      <c r="G39" s="37">
        <f>IF($C39&lt;&gt;"",VLOOKUP($C39,授業リスト!$A:$J,4,FALSE),"")</f>
        <v>2</v>
      </c>
      <c r="H39" s="37" t="str">
        <f>IF($C39&lt;&gt;"",VLOOKUP($C39,授業リスト!$A:$J,5,FALSE),"")</f>
        <v>前</v>
      </c>
      <c r="I39" s="37" t="str">
        <f>IF($C39&lt;&gt;"",VLOOKUP($C39,授業リスト!$A:$J,6,FALSE),"")</f>
        <v>水</v>
      </c>
      <c r="J39" s="37">
        <f>IF($C39&lt;&gt;"",VLOOKUP($C39,授業リスト!$A:$J,7,FALSE),"")</f>
        <v>2</v>
      </c>
      <c r="K39" s="38">
        <f>IF($C39&lt;&gt;"",VLOOKUP($C39,授業リスト!$A:$J,9,FALSE),"")</f>
        <v>2</v>
      </c>
      <c r="N39" t="str">
        <f>IF($C39&lt;&gt;"",VLOOKUP($C39,授業リスト!$A:$Z,COLUMN(),FALSE),"")</f>
        <v/>
      </c>
      <c r="O39" t="str">
        <f>IF($C39&lt;&gt;"",VLOOKUP($C39,授業リスト!$A:$Z,COLUMN(),FALSE),"")</f>
        <v/>
      </c>
      <c r="P39" t="str">
        <f>IF($C39&lt;&gt;"",VLOOKUP($C39,授業リスト!$A:$Z,COLUMN(),FALSE),"")</f>
        <v>Y</v>
      </c>
      <c r="Q39" t="str">
        <f>IF($C39&lt;&gt;"",VLOOKUP($C39,授業リスト!$A:$Z,COLUMN(),FALSE),"")</f>
        <v>Y</v>
      </c>
      <c r="R39" t="str">
        <f>IF($C39&lt;&gt;"",VLOOKUP($C39,授業リスト!$A:$Z,COLUMN(),FALSE),"")</f>
        <v/>
      </c>
      <c r="S39" t="str">
        <f>IF($C39&lt;&gt;"",VLOOKUP($C39,授業リスト!$A:$Z,COLUMN(),FALSE),"")</f>
        <v/>
      </c>
      <c r="T39" t="str">
        <f>IF($C39&lt;&gt;"",VLOOKUP($C39,授業リスト!$A:$Z,COLUMN(),FALSE),"")</f>
        <v/>
      </c>
      <c r="U39" t="str">
        <f>IF($C39&lt;&gt;"",VLOOKUP($C39,授業リスト!$A:$Z,COLUMN(),FALSE),"")</f>
        <v/>
      </c>
      <c r="V39" t="str">
        <f>IF($C39&lt;&gt;"",VLOOKUP($C39,授業リスト!$A:$Z,COLUMN(),FALSE),"")</f>
        <v/>
      </c>
      <c r="W39">
        <f>IF($C39&lt;&gt;"",VLOOKUP($C39,授業リスト!$A:$Z,COLUMN(),FALSE),"")</f>
        <v>0</v>
      </c>
      <c r="X39">
        <f>IF($C39&lt;&gt;"",VLOOKUP($C39,授業リスト!$A:$Z,COLUMN(),FALSE),"")</f>
        <v>0</v>
      </c>
      <c r="Y39">
        <f>IF($C39&lt;&gt;"",VLOOKUP($C39,授業リスト!$A:$Z,COLUMN(),FALSE),"")</f>
        <v>0</v>
      </c>
      <c r="Z39">
        <f>IF($C39&lt;&gt;"",VLOOKUP($C39,授業リスト!$A:$Z,COLUMN(),FALSE),"")</f>
        <v>0</v>
      </c>
    </row>
    <row r="40" spans="1:26" ht="17">
      <c r="A40" s="37">
        <v>2</v>
      </c>
      <c r="B40" s="37" t="s">
        <v>69</v>
      </c>
      <c r="C40" s="84">
        <v>37474</v>
      </c>
      <c r="D40" s="37" t="str">
        <f>IF($C40&lt;&gt;"",VLOOKUP($C40,授業リスト!$A:$J,2,FALSE),"")</f>
        <v>Special Lectures in English Literature II</v>
      </c>
      <c r="E40" s="37" t="str">
        <f>IF($C40&lt;&gt;"",VLOOKUP($C40,授業リスト!$A:$J,3,FALSE),"")</f>
        <v/>
      </c>
      <c r="F40" s="37" t="str">
        <f>IF($C40&lt;&gt;"",VLOOKUP($C40,授業リスト!$A:$J,8,FALSE),"")</f>
        <v>Marie Curie</v>
      </c>
      <c r="G40" s="37">
        <f>IF($C40&lt;&gt;"",VLOOKUP($C40,授業リスト!$A:$J,4,FALSE),"")</f>
        <v>2</v>
      </c>
      <c r="H40" s="37" t="str">
        <f>IF($C40&lt;&gt;"",VLOOKUP($C40,授業リスト!$A:$J,5,FALSE),"")</f>
        <v>前</v>
      </c>
      <c r="I40" s="37" t="str">
        <f>IF($C40&lt;&gt;"",VLOOKUP($C40,授業リスト!$A:$J,6,FALSE),"")</f>
        <v>集中</v>
      </c>
      <c r="J40" s="37">
        <f>IF($C40&lt;&gt;"",VLOOKUP($C40,授業リスト!$A:$J,7,FALSE),"")</f>
        <v>0</v>
      </c>
      <c r="K40" s="38" t="str">
        <f>IF($C40&lt;&gt;"",VLOOKUP($C40,授業リスト!$A:$J,9,FALSE),"")</f>
        <v>2～4</v>
      </c>
      <c r="N40" t="str">
        <f>IF($C40&lt;&gt;"",VLOOKUP($C40,授業リスト!$A:$Z,COLUMN(),FALSE),"")</f>
        <v/>
      </c>
      <c r="O40" t="str">
        <f>IF($C40&lt;&gt;"",VLOOKUP($C40,授業リスト!$A:$Z,COLUMN(),FALSE),"")</f>
        <v>Y</v>
      </c>
      <c r="P40" t="str">
        <f>IF($C40&lt;&gt;"",VLOOKUP($C40,授業リスト!$A:$Z,COLUMN(),FALSE),"")</f>
        <v/>
      </c>
      <c r="Q40" t="str">
        <f>IF($C40&lt;&gt;"",VLOOKUP($C40,授業リスト!$A:$Z,COLUMN(),FALSE),"")</f>
        <v/>
      </c>
      <c r="R40" t="str">
        <f>IF($C40&lt;&gt;"",VLOOKUP($C40,授業リスト!$A:$Z,COLUMN(),FALSE),"")</f>
        <v/>
      </c>
      <c r="S40" t="str">
        <f>IF($C40&lt;&gt;"",VLOOKUP($C40,授業リスト!$A:$Z,COLUMN(),FALSE),"")</f>
        <v/>
      </c>
      <c r="T40" t="str">
        <f>IF($C40&lt;&gt;"",VLOOKUP($C40,授業リスト!$A:$Z,COLUMN(),FALSE),"")</f>
        <v/>
      </c>
      <c r="U40" t="str">
        <f>IF($C40&lt;&gt;"",VLOOKUP($C40,授業リスト!$A:$Z,COLUMN(),FALSE),"")</f>
        <v/>
      </c>
      <c r="V40" t="str">
        <f>IF($C40&lt;&gt;"",VLOOKUP($C40,授業リスト!$A:$Z,COLUMN(),FALSE),"")</f>
        <v/>
      </c>
      <c r="W40">
        <f>IF($C40&lt;&gt;"",VLOOKUP($C40,授業リスト!$A:$Z,COLUMN(),FALSE),"")</f>
        <v>0</v>
      </c>
      <c r="X40">
        <f>IF($C40&lt;&gt;"",VLOOKUP($C40,授業リスト!$A:$Z,COLUMN(),FALSE),"")</f>
        <v>0</v>
      </c>
      <c r="Y40">
        <f>IF($C40&lt;&gt;"",VLOOKUP($C40,授業リスト!$A:$Z,COLUMN(),FALSE),"")</f>
        <v>0</v>
      </c>
      <c r="Z40">
        <f>IF($C40&lt;&gt;"",VLOOKUP($C40,授業リスト!$A:$Z,COLUMN(),FALSE),"")</f>
        <v>0</v>
      </c>
    </row>
    <row r="41" spans="1:26" ht="17">
      <c r="A41" s="37">
        <v>2</v>
      </c>
      <c r="B41" s="37" t="s">
        <v>69</v>
      </c>
      <c r="C41" s="84">
        <v>37476</v>
      </c>
      <c r="D41" s="37" t="str">
        <f>IF($C41&lt;&gt;"",VLOOKUP($C41,授業リスト!$A:$J,2,FALSE),"")</f>
        <v>English Education Exercises I</v>
      </c>
      <c r="E41" s="37" t="str">
        <f>IF($C41&lt;&gt;"",VLOOKUP($C41,授業リスト!$A:$J,3,FALSE),"")</f>
        <v/>
      </c>
      <c r="F41" s="37" t="str">
        <f>IF($C41&lt;&gt;"",VLOOKUP($C41,授業リスト!$A:$J,8,FALSE),"")</f>
        <v>Albert Einstein</v>
      </c>
      <c r="G41" s="37">
        <f>IF($C41&lt;&gt;"",VLOOKUP($C41,授業リスト!$A:$J,4,FALSE),"")</f>
        <v>2</v>
      </c>
      <c r="H41" s="37" t="str">
        <f>IF($C41&lt;&gt;"",VLOOKUP($C41,授業リスト!$A:$J,5,FALSE),"")</f>
        <v>前</v>
      </c>
      <c r="I41" s="37" t="str">
        <f>IF($C41&lt;&gt;"",VLOOKUP($C41,授業リスト!$A:$J,6,FALSE),"")</f>
        <v>木</v>
      </c>
      <c r="J41" s="37">
        <f>IF($C41&lt;&gt;"",VLOOKUP($C41,授業リスト!$A:$J,7,FALSE),"")</f>
        <v>2</v>
      </c>
      <c r="K41" s="38">
        <f>IF($C41&lt;&gt;"",VLOOKUP($C41,授業リスト!$A:$J,9,FALSE),"")</f>
        <v>2</v>
      </c>
      <c r="N41" t="str">
        <f>IF($C41&lt;&gt;"",VLOOKUP($C41,授業リスト!$A:$Z,COLUMN(),FALSE),"")</f>
        <v/>
      </c>
      <c r="O41" t="str">
        <f>IF($C41&lt;&gt;"",VLOOKUP($C41,授業リスト!$A:$Z,COLUMN(),FALSE),"")</f>
        <v>Y</v>
      </c>
      <c r="P41" t="str">
        <f>IF($C41&lt;&gt;"",VLOOKUP($C41,授業リスト!$A:$Z,COLUMN(),FALSE),"")</f>
        <v/>
      </c>
      <c r="Q41" t="str">
        <f>IF($C41&lt;&gt;"",VLOOKUP($C41,授業リスト!$A:$Z,COLUMN(),FALSE),"")</f>
        <v/>
      </c>
      <c r="R41" t="str">
        <f>IF($C41&lt;&gt;"",VLOOKUP($C41,授業リスト!$A:$Z,COLUMN(),FALSE),"")</f>
        <v/>
      </c>
      <c r="S41" t="str">
        <f>IF($C41&lt;&gt;"",VLOOKUP($C41,授業リスト!$A:$Z,COLUMN(),FALSE),"")</f>
        <v/>
      </c>
      <c r="T41" t="str">
        <f>IF($C41&lt;&gt;"",VLOOKUP($C41,授業リスト!$A:$Z,COLUMN(),FALSE),"")</f>
        <v/>
      </c>
      <c r="U41" t="str">
        <f>IF($C41&lt;&gt;"",VLOOKUP($C41,授業リスト!$A:$Z,COLUMN(),FALSE),"")</f>
        <v/>
      </c>
      <c r="V41" t="str">
        <f>IF($C41&lt;&gt;"",VLOOKUP($C41,授業リスト!$A:$Z,COLUMN(),FALSE),"")</f>
        <v/>
      </c>
      <c r="W41">
        <f>IF($C41&lt;&gt;"",VLOOKUP($C41,授業リスト!$A:$Z,COLUMN(),FALSE),"")</f>
        <v>0</v>
      </c>
      <c r="X41">
        <f>IF($C41&lt;&gt;"",VLOOKUP($C41,授業リスト!$A:$Z,COLUMN(),FALSE),"")</f>
        <v>0</v>
      </c>
      <c r="Y41">
        <f>IF($C41&lt;&gt;"",VLOOKUP($C41,授業リスト!$A:$Z,COLUMN(),FALSE),"")</f>
        <v>0</v>
      </c>
      <c r="Z41">
        <f>IF($C41&lt;&gt;"",VLOOKUP($C41,授業リスト!$A:$Z,COLUMN(),FALSE),"")</f>
        <v>0</v>
      </c>
    </row>
    <row r="42" spans="1:26" ht="17">
      <c r="A42" s="37">
        <v>2</v>
      </c>
      <c r="B42" s="37" t="s">
        <v>69</v>
      </c>
      <c r="C42" s="84">
        <v>37479</v>
      </c>
      <c r="D42" s="37" t="str">
        <f>IF($C42&lt;&gt;"",VLOOKUP($C42,授業リスト!$A:$J,2,FALSE),"")</f>
        <v>English Communication Studies Exercises I</v>
      </c>
      <c r="E42" s="37">
        <f>IF($C42&lt;&gt;"",VLOOKUP($C42,授業リスト!$A:$J,3,FALSE),"")</f>
        <v>0</v>
      </c>
      <c r="F42" s="37" t="str">
        <f>IF($C42&lt;&gt;"",VLOOKUP($C42,授業リスト!$A:$J,8,FALSE),"")</f>
        <v>Thomas Edison</v>
      </c>
      <c r="G42" s="37">
        <f>IF($C42&lt;&gt;"",VLOOKUP($C42,授業リスト!$A:$J,4,FALSE),"")</f>
        <v>2</v>
      </c>
      <c r="H42" s="37" t="str">
        <f>IF($C42&lt;&gt;"",VLOOKUP($C42,授業リスト!$A:$J,5,FALSE),"")</f>
        <v>前</v>
      </c>
      <c r="I42" s="37" t="str">
        <f>IF($C42&lt;&gt;"",VLOOKUP($C42,授業リスト!$A:$J,6,FALSE),"")</f>
        <v>火</v>
      </c>
      <c r="J42" s="37">
        <f>IF($C42&lt;&gt;"",VLOOKUP($C42,授業リスト!$A:$J,7,FALSE),"")</f>
        <v>4</v>
      </c>
      <c r="K42" s="38">
        <f>IF($C42&lt;&gt;"",VLOOKUP($C42,授業リスト!$A:$J,9,FALSE),"")</f>
        <v>2</v>
      </c>
      <c r="N42" t="str">
        <f>IF($C42&lt;&gt;"",VLOOKUP($C42,授業リスト!$A:$Z,COLUMN(),FALSE),"")</f>
        <v/>
      </c>
      <c r="O42" t="str">
        <f>IF($C42&lt;&gt;"",VLOOKUP($C42,授業リスト!$A:$Z,COLUMN(),FALSE),"")</f>
        <v>Y</v>
      </c>
      <c r="P42" t="str">
        <f>IF($C42&lt;&gt;"",VLOOKUP($C42,授業リスト!$A:$Z,COLUMN(),FALSE),"")</f>
        <v/>
      </c>
      <c r="Q42" t="str">
        <f>IF($C42&lt;&gt;"",VLOOKUP($C42,授業リスト!$A:$Z,COLUMN(),FALSE),"")</f>
        <v/>
      </c>
      <c r="R42" t="str">
        <f>IF($C42&lt;&gt;"",VLOOKUP($C42,授業リスト!$A:$Z,COLUMN(),FALSE),"")</f>
        <v/>
      </c>
      <c r="S42" t="str">
        <f>IF($C42&lt;&gt;"",VLOOKUP($C42,授業リスト!$A:$Z,COLUMN(),FALSE),"")</f>
        <v/>
      </c>
      <c r="T42" t="str">
        <f>IF($C42&lt;&gt;"",VLOOKUP($C42,授業リスト!$A:$Z,COLUMN(),FALSE),"")</f>
        <v/>
      </c>
      <c r="U42" t="str">
        <f>IF($C42&lt;&gt;"",VLOOKUP($C42,授業リスト!$A:$Z,COLUMN(),FALSE),"")</f>
        <v/>
      </c>
      <c r="V42" t="str">
        <f>IF($C42&lt;&gt;"",VLOOKUP($C42,授業リスト!$A:$Z,COLUMN(),FALSE),"")</f>
        <v/>
      </c>
      <c r="W42">
        <f>IF($C42&lt;&gt;"",VLOOKUP($C42,授業リスト!$A:$Z,COLUMN(),FALSE),"")</f>
        <v>0</v>
      </c>
      <c r="X42">
        <f>IF($C42&lt;&gt;"",VLOOKUP($C42,授業リスト!$A:$Z,COLUMN(),FALSE),"")</f>
        <v>0</v>
      </c>
      <c r="Y42">
        <f>IF($C42&lt;&gt;"",VLOOKUP($C42,授業リスト!$A:$Z,COLUMN(),FALSE),"")</f>
        <v>0</v>
      </c>
      <c r="Z42">
        <f>IF($C42&lt;&gt;"",VLOOKUP($C42,授業リスト!$A:$Z,COLUMN(),FALSE),"")</f>
        <v>0</v>
      </c>
    </row>
    <row r="43" spans="1:26" ht="17">
      <c r="A43" s="37">
        <v>2</v>
      </c>
      <c r="B43" s="37" t="s">
        <v>69</v>
      </c>
      <c r="C43" s="85">
        <v>38125</v>
      </c>
      <c r="D43" s="37" t="str">
        <f>IF($C43&lt;&gt;"",VLOOKUP($C43,授業リスト!$A:$J,2,FALSE),"")</f>
        <v>Curriculum and Teaching Methods (Including ICT Utilization)</v>
      </c>
      <c r="E43" s="37">
        <f>IF($C43&lt;&gt;"",VLOOKUP($C43,授業リスト!$A:$J,3,FALSE),"")</f>
        <v>0</v>
      </c>
      <c r="F43" s="37" t="str">
        <f>IF($C43&lt;&gt;"",VLOOKUP($C43,授業リスト!$A:$J,8,FALSE),"")</f>
        <v>Emily Brontë</v>
      </c>
      <c r="G43" s="37">
        <f>IF($C43&lt;&gt;"",VLOOKUP($C43,授業リスト!$A:$J,4,FALSE),"")</f>
        <v>2</v>
      </c>
      <c r="H43" s="37" t="str">
        <f>IF($C43&lt;&gt;"",VLOOKUP($C43,授業リスト!$A:$J,5,FALSE),"")</f>
        <v>前</v>
      </c>
      <c r="I43" s="37" t="str">
        <f>IF($C43&lt;&gt;"",VLOOKUP($C43,授業リスト!$A:$J,6,FALSE),"")</f>
        <v>火</v>
      </c>
      <c r="J43" s="37">
        <f>IF($C43&lt;&gt;"",VLOOKUP($C43,授業リスト!$A:$J,7,FALSE),"")</f>
        <v>2</v>
      </c>
      <c r="K43" s="38">
        <f>IF($C43&lt;&gt;"",VLOOKUP($C43,授業リスト!$A:$J,9,FALSE),"")</f>
        <v>2</v>
      </c>
      <c r="N43" t="str">
        <f>IF($C43&lt;&gt;"",VLOOKUP($C43,授業リスト!$A:$Z,COLUMN(),FALSE),"")</f>
        <v/>
      </c>
      <c r="O43" t="str">
        <f>IF($C43&lt;&gt;"",VLOOKUP($C43,授業リスト!$A:$Z,COLUMN(),FALSE),"")</f>
        <v/>
      </c>
      <c r="P43" t="str">
        <f>IF($C43&lt;&gt;"",VLOOKUP($C43,授業リスト!$A:$Z,COLUMN(),FALSE),"")</f>
        <v/>
      </c>
      <c r="Q43" t="str">
        <f>IF($C43&lt;&gt;"",VLOOKUP($C43,授業リスト!$A:$Z,COLUMN(),FALSE),"")</f>
        <v>Y</v>
      </c>
      <c r="R43" t="str">
        <f>IF($C43&lt;&gt;"",VLOOKUP($C43,授業リスト!$A:$Z,COLUMN(),FALSE),"")</f>
        <v/>
      </c>
      <c r="S43" t="str">
        <f>IF($C43&lt;&gt;"",VLOOKUP($C43,授業リスト!$A:$Z,COLUMN(),FALSE),"")</f>
        <v/>
      </c>
      <c r="T43" t="str">
        <f>IF($C43&lt;&gt;"",VLOOKUP($C43,授業リスト!$A:$Z,COLUMN(),FALSE),"")</f>
        <v/>
      </c>
      <c r="U43" t="str">
        <f>IF($C43&lt;&gt;"",VLOOKUP($C43,授業リスト!$A:$Z,COLUMN(),FALSE),"")</f>
        <v/>
      </c>
      <c r="V43" t="str">
        <f>IF($C43&lt;&gt;"",VLOOKUP($C43,授業リスト!$A:$Z,COLUMN(),FALSE),"")</f>
        <v/>
      </c>
      <c r="W43">
        <f>IF($C43&lt;&gt;"",VLOOKUP($C43,授業リスト!$A:$Z,COLUMN(),FALSE),"")</f>
        <v>0</v>
      </c>
      <c r="X43">
        <f>IF($C43&lt;&gt;"",VLOOKUP($C43,授業リスト!$A:$Z,COLUMN(),FALSE),"")</f>
        <v>0</v>
      </c>
      <c r="Y43">
        <f>IF($C43&lt;&gt;"",VLOOKUP($C43,授業リスト!$A:$Z,COLUMN(),FALSE),"")</f>
        <v>0</v>
      </c>
      <c r="Z43">
        <f>IF($C43&lt;&gt;"",VLOOKUP($C43,授業リスト!$A:$Z,COLUMN(),FALSE),"")</f>
        <v>0</v>
      </c>
    </row>
    <row r="44" spans="1:26" ht="17">
      <c r="A44" s="37">
        <v>2</v>
      </c>
      <c r="B44" s="37" t="s">
        <v>69</v>
      </c>
      <c r="C44" s="85">
        <v>37452</v>
      </c>
      <c r="D44" s="37" t="str">
        <f>IF($C44&lt;&gt;"",VLOOKUP($C44,授業リスト!$A:$J,2,FALSE),"")</f>
        <v>English Linguistics Exercises I</v>
      </c>
      <c r="E44" s="37" t="str">
        <f>IF($C44&lt;&gt;"",VLOOKUP($C44,授業リスト!$A:$J,3,FALSE),"")</f>
        <v/>
      </c>
      <c r="F44" s="37" t="str">
        <f>IF($C44&lt;&gt;"",VLOOKUP($C44,授業リスト!$A:$J,8,FALSE),"")</f>
        <v>Sir Walter Raleigh</v>
      </c>
      <c r="G44" s="37">
        <f>IF($C44&lt;&gt;"",VLOOKUP($C44,授業リスト!$A:$J,4,FALSE),"")</f>
        <v>2</v>
      </c>
      <c r="H44" s="37" t="str">
        <f>IF($C44&lt;&gt;"",VLOOKUP($C44,授業リスト!$A:$J,5,FALSE),"")</f>
        <v>前</v>
      </c>
      <c r="I44" s="37" t="str">
        <f>IF($C44&lt;&gt;"",VLOOKUP($C44,授業リスト!$A:$J,6,FALSE),"")</f>
        <v>木</v>
      </c>
      <c r="J44" s="37">
        <f>IF($C44&lt;&gt;"",VLOOKUP($C44,授業リスト!$A:$J,7,FALSE),"")</f>
        <v>4</v>
      </c>
      <c r="K44" s="38">
        <f>IF($C44&lt;&gt;"",VLOOKUP($C44,授業リスト!$A:$J,9,FALSE),"")</f>
        <v>2</v>
      </c>
      <c r="N44" t="str">
        <f>IF($C44&lt;&gt;"",VLOOKUP($C44,授業リスト!$A:$Z,COLUMN(),FALSE),"")</f>
        <v/>
      </c>
      <c r="O44" t="str">
        <f>IF($C44&lt;&gt;"",VLOOKUP($C44,授業リスト!$A:$Z,COLUMN(),FALSE),"")</f>
        <v>Y</v>
      </c>
      <c r="P44" t="str">
        <f>IF($C44&lt;&gt;"",VLOOKUP($C44,授業リスト!$A:$Z,COLUMN(),FALSE),"")</f>
        <v/>
      </c>
      <c r="Q44" t="str">
        <f>IF($C44&lt;&gt;"",VLOOKUP($C44,授業リスト!$A:$Z,COLUMN(),FALSE),"")</f>
        <v/>
      </c>
      <c r="R44" t="str">
        <f>IF($C44&lt;&gt;"",VLOOKUP($C44,授業リスト!$A:$Z,COLUMN(),FALSE),"")</f>
        <v/>
      </c>
      <c r="S44" t="str">
        <f>IF($C44&lt;&gt;"",VLOOKUP($C44,授業リスト!$A:$Z,COLUMN(),FALSE),"")</f>
        <v/>
      </c>
      <c r="T44" t="str">
        <f>IF($C44&lt;&gt;"",VLOOKUP($C44,授業リスト!$A:$Z,COLUMN(),FALSE),"")</f>
        <v/>
      </c>
      <c r="U44" t="str">
        <f>IF($C44&lt;&gt;"",VLOOKUP($C44,授業リスト!$A:$Z,COLUMN(),FALSE),"")</f>
        <v/>
      </c>
      <c r="V44" t="str">
        <f>IF($C44&lt;&gt;"",VLOOKUP($C44,授業リスト!$A:$Z,COLUMN(),FALSE),"")</f>
        <v/>
      </c>
      <c r="W44">
        <f>IF($C44&lt;&gt;"",VLOOKUP($C44,授業リスト!$A:$Z,COLUMN(),FALSE),"")</f>
        <v>0</v>
      </c>
      <c r="X44">
        <f>IF($C44&lt;&gt;"",VLOOKUP($C44,授業リスト!$A:$Z,COLUMN(),FALSE),"")</f>
        <v>0</v>
      </c>
      <c r="Y44">
        <f>IF($C44&lt;&gt;"",VLOOKUP($C44,授業リスト!$A:$Z,COLUMN(),FALSE),"")</f>
        <v>0</v>
      </c>
      <c r="Z44">
        <f>IF($C44&lt;&gt;"",VLOOKUP($C44,授業リスト!$A:$Z,COLUMN(),FALSE),"")</f>
        <v>0</v>
      </c>
    </row>
    <row r="45" spans="1:26" ht="17">
      <c r="A45" s="37">
        <v>2</v>
      </c>
      <c r="B45" s="37" t="s">
        <v>69</v>
      </c>
      <c r="C45" s="85">
        <v>38103</v>
      </c>
      <c r="D45" s="37" t="str">
        <f>IF($C45&lt;&gt;"",VLOOKUP($C45,授業リスト!$A:$J,2,FALSE),"")</f>
        <v>School Education Practice and Reflection II</v>
      </c>
      <c r="E45" s="37" t="str">
        <f>IF($C45&lt;&gt;"",VLOOKUP($C45,授業リスト!$A:$J,3,FALSE),"")</f>
        <v/>
      </c>
      <c r="F45" s="37" t="str">
        <f>IF($C45&lt;&gt;"",VLOOKUP($C45,授業リスト!$A:$J,8,FALSE),"")</f>
        <v>Antoine de Saint-Exupéry</v>
      </c>
      <c r="G45" s="37">
        <f>IF($C45&lt;&gt;"",VLOOKUP($C45,授業リスト!$A:$J,4,FALSE),"")</f>
        <v>2</v>
      </c>
      <c r="H45" s="37" t="str">
        <f>IF($C45&lt;&gt;"",VLOOKUP($C45,授業リスト!$A:$J,5,FALSE),"")</f>
        <v>通年</v>
      </c>
      <c r="I45" s="37" t="str">
        <f>IF($C45&lt;&gt;"",VLOOKUP($C45,授業リスト!$A:$J,6,FALSE),"")</f>
        <v>金</v>
      </c>
      <c r="J45" s="37" t="str">
        <f>IF($C45&lt;&gt;"",VLOOKUP($C45,授業リスト!$A:$J,7,FALSE),"")</f>
        <v>1-2</v>
      </c>
      <c r="K45" s="38">
        <f>IF($C45&lt;&gt;"",VLOOKUP($C45,授業リスト!$A:$J,9,FALSE),"")</f>
        <v>2</v>
      </c>
      <c r="N45" t="str">
        <f>IF($C45&lt;&gt;"",VLOOKUP($C45,授業リスト!$A:$Z,COLUMN(),FALSE),"")</f>
        <v/>
      </c>
      <c r="O45" t="str">
        <f>IF($C45&lt;&gt;"",VLOOKUP($C45,授業リスト!$A:$Z,COLUMN(),FALSE),"")</f>
        <v/>
      </c>
      <c r="P45" t="str">
        <f>IF($C45&lt;&gt;"",VLOOKUP($C45,授業リスト!$A:$Z,COLUMN(),FALSE),"")</f>
        <v>Y</v>
      </c>
      <c r="Q45" t="str">
        <f>IF($C45&lt;&gt;"",VLOOKUP($C45,授業リスト!$A:$Z,COLUMN(),FALSE),"")</f>
        <v/>
      </c>
      <c r="R45" t="str">
        <f>IF($C45&lt;&gt;"",VLOOKUP($C45,授業リスト!$A:$Z,COLUMN(),FALSE),"")</f>
        <v>Y</v>
      </c>
      <c r="S45" t="str">
        <f>IF($C45&lt;&gt;"",VLOOKUP($C45,授業リスト!$A:$Z,COLUMN(),FALSE),"")</f>
        <v/>
      </c>
      <c r="T45" t="str">
        <f>IF($C45&lt;&gt;"",VLOOKUP($C45,授業リスト!$A:$Z,COLUMN(),FALSE),"")</f>
        <v/>
      </c>
      <c r="U45" t="str">
        <f>IF($C45&lt;&gt;"",VLOOKUP($C45,授業リスト!$A:$Z,COLUMN(),FALSE),"")</f>
        <v/>
      </c>
      <c r="V45" t="str">
        <f>IF($C45&lt;&gt;"",VLOOKUP($C45,授業リスト!$A:$Z,COLUMN(),FALSE),"")</f>
        <v/>
      </c>
      <c r="W45">
        <f>IF($C45&lt;&gt;"",VLOOKUP($C45,授業リスト!$A:$Z,COLUMN(),FALSE),"")</f>
        <v>0</v>
      </c>
      <c r="X45">
        <f>IF($C45&lt;&gt;"",VLOOKUP($C45,授業リスト!$A:$Z,COLUMN(),FALSE),"")</f>
        <v>0</v>
      </c>
      <c r="Y45">
        <f>IF($C45&lt;&gt;"",VLOOKUP($C45,授業リスト!$A:$Z,COLUMN(),FALSE),"")</f>
        <v>0</v>
      </c>
      <c r="Z45">
        <f>IF($C45&lt;&gt;"",VLOOKUP($C45,授業リスト!$A:$Z,COLUMN(),FALSE),"")</f>
        <v>0</v>
      </c>
    </row>
    <row r="46" spans="1:26" ht="17">
      <c r="A46" s="37">
        <v>2</v>
      </c>
      <c r="B46" s="37" t="s">
        <v>69</v>
      </c>
      <c r="C46" s="85">
        <v>38074</v>
      </c>
      <c r="D46" s="37" t="str">
        <f>IF($C46&lt;&gt;"",VLOOKUP($C46,授業リスト!$A:$J,2,FALSE),"")</f>
        <v>Business Communication &amp; IT</v>
      </c>
      <c r="E46" s="37">
        <f>IF($C46&lt;&gt;"",VLOOKUP($C46,授業リスト!$A:$J,3,FALSE),"")</f>
        <v>0</v>
      </c>
      <c r="F46" s="37" t="str">
        <f>IF($C46&lt;&gt;"",VLOOKUP($C46,授業リスト!$A:$J,8,FALSE),"")</f>
        <v>Leonardo da Vinci</v>
      </c>
      <c r="G46" s="37">
        <f>IF($C46&lt;&gt;"",VLOOKUP($C46,授業リスト!$A:$J,4,FALSE),"")</f>
        <v>2</v>
      </c>
      <c r="H46" s="37" t="str">
        <f>IF($C46&lt;&gt;"",VLOOKUP($C46,授業リスト!$A:$J,5,FALSE),"")</f>
        <v>前</v>
      </c>
      <c r="I46" s="37" t="str">
        <f>IF($C46&lt;&gt;"",VLOOKUP($C46,授業リスト!$A:$J,6,FALSE),"")</f>
        <v>月</v>
      </c>
      <c r="J46" s="37">
        <f>IF($C46&lt;&gt;"",VLOOKUP($C46,授業リスト!$A:$J,7,FALSE),"")</f>
        <v>4</v>
      </c>
      <c r="K46" s="38" t="str">
        <f>IF($C46&lt;&gt;"",VLOOKUP($C46,授業リスト!$A:$J,9,FALSE),"")</f>
        <v>1～4</v>
      </c>
      <c r="N46" t="str">
        <f>IF($C46&lt;&gt;"",VLOOKUP($C46,授業リスト!$A:$Z,COLUMN(),FALSE),"")</f>
        <v/>
      </c>
      <c r="O46" t="str">
        <f>IF($C46&lt;&gt;"",VLOOKUP($C46,授業リスト!$A:$Z,COLUMN(),FALSE),"")</f>
        <v/>
      </c>
      <c r="P46" t="str">
        <f>IF($C46&lt;&gt;"",VLOOKUP($C46,授業リスト!$A:$Z,COLUMN(),FALSE),"")</f>
        <v/>
      </c>
      <c r="Q46" t="str">
        <f>IF($C46&lt;&gt;"",VLOOKUP($C46,授業リスト!$A:$Z,COLUMN(),FALSE),"")</f>
        <v/>
      </c>
      <c r="R46" t="str">
        <f>IF($C46&lt;&gt;"",VLOOKUP($C46,授業リスト!$A:$Z,COLUMN(),FALSE),"")</f>
        <v/>
      </c>
      <c r="S46" t="str">
        <f>IF($C46&lt;&gt;"",VLOOKUP($C46,授業リスト!$A:$Z,COLUMN(),FALSE),"")</f>
        <v/>
      </c>
      <c r="T46" t="str">
        <f>IF($C46&lt;&gt;"",VLOOKUP($C46,授業リスト!$A:$Z,COLUMN(),FALSE),"")</f>
        <v/>
      </c>
      <c r="U46" t="str">
        <f>IF($C46&lt;&gt;"",VLOOKUP($C46,授業リスト!$A:$Z,COLUMN(),FALSE),"")</f>
        <v/>
      </c>
      <c r="V46" t="str">
        <f>IF($C46&lt;&gt;"",VLOOKUP($C46,授業リスト!$A:$Z,COLUMN(),FALSE),"")</f>
        <v/>
      </c>
      <c r="W46">
        <f>IF($C46&lt;&gt;"",VLOOKUP($C46,授業リスト!$A:$Z,COLUMN(),FALSE),"")</f>
        <v>0</v>
      </c>
      <c r="X46">
        <f>IF($C46&lt;&gt;"",VLOOKUP($C46,授業リスト!$A:$Z,COLUMN(),FALSE),"")</f>
        <v>0</v>
      </c>
      <c r="Y46">
        <f>IF($C46&lt;&gt;"",VLOOKUP($C46,授業リスト!$A:$Z,COLUMN(),FALSE),"")</f>
        <v>0</v>
      </c>
      <c r="Z46">
        <f>IF($C46&lt;&gt;"",VLOOKUP($C46,授業リスト!$A:$Z,COLUMN(),FALSE),"")</f>
        <v>0</v>
      </c>
    </row>
    <row r="47" spans="1:26" ht="17">
      <c r="A47">
        <v>2</v>
      </c>
      <c r="B47" t="s">
        <v>47</v>
      </c>
      <c r="C47" s="87">
        <v>37103</v>
      </c>
      <c r="D47" t="str">
        <f>IF($C47&lt;&gt;"",VLOOKUP($C47,授業リスト!$A:$J,2,FALSE),"")</f>
        <v>Gen Ed Social Sciences</v>
      </c>
      <c r="E47" t="str">
        <f>IF($C47&lt;&gt;"",VLOOKUP($C47,授業リスト!$A:$J,3,FALSE),"")</f>
        <v>Government</v>
      </c>
      <c r="F47" t="str">
        <f>IF($C47&lt;&gt;"",VLOOKUP($C47,授業リスト!$A:$J,8,FALSE),"")</f>
        <v>Amelia Earhart</v>
      </c>
      <c r="G47">
        <f>IF($C47&lt;&gt;"",VLOOKUP($C47,授業リスト!$A:$J,4,FALSE),"")</f>
        <v>2</v>
      </c>
      <c r="H47" t="str">
        <f>IF($C47&lt;&gt;"",VLOOKUP($C47,授業リスト!$A:$J,5,FALSE),"")</f>
        <v>後</v>
      </c>
      <c r="I47" t="str">
        <f>IF($C47&lt;&gt;"",VLOOKUP($C47,授業リスト!$A:$J,6,FALSE),"")</f>
        <v>木</v>
      </c>
      <c r="J47">
        <f>IF($C47&lt;&gt;"",VLOOKUP($C47,授業リスト!$A:$J,7,FALSE),"")</f>
        <v>1</v>
      </c>
      <c r="K47" s="30" t="str">
        <f>IF($C47&lt;&gt;"",VLOOKUP($C47,授業リスト!$A:$J,9,FALSE),"")</f>
        <v>1～2</v>
      </c>
      <c r="N47" t="str">
        <f>IF($C47&lt;&gt;"",VLOOKUP($C47,授業リスト!$A:$Z,COLUMN(),FALSE),"")</f>
        <v>Y</v>
      </c>
      <c r="O47" t="str">
        <f>IF($C47&lt;&gt;"",VLOOKUP($C47,授業リスト!$A:$Z,COLUMN(),FALSE),"")</f>
        <v/>
      </c>
      <c r="P47" t="str">
        <f>IF($C47&lt;&gt;"",VLOOKUP($C47,授業リスト!$A:$Z,COLUMN(),FALSE),"")</f>
        <v/>
      </c>
      <c r="Q47" t="str">
        <f>IF($C47&lt;&gt;"",VLOOKUP($C47,授業リスト!$A:$Z,COLUMN(),FALSE),"")</f>
        <v/>
      </c>
      <c r="R47" t="str">
        <f>IF($C47&lt;&gt;"",VLOOKUP($C47,授業リスト!$A:$Z,COLUMN(),FALSE),"")</f>
        <v/>
      </c>
      <c r="S47" t="str">
        <f>IF($C47&lt;&gt;"",VLOOKUP($C47,授業リスト!$A:$Z,COLUMN(),FALSE),"")</f>
        <v/>
      </c>
      <c r="T47" t="str">
        <f>IF($C47&lt;&gt;"",VLOOKUP($C47,授業リスト!$A:$Z,COLUMN(),FALSE),"")</f>
        <v/>
      </c>
      <c r="U47" t="str">
        <f>IF($C47&lt;&gt;"",VLOOKUP($C47,授業リスト!$A:$Z,COLUMN(),FALSE),"")</f>
        <v/>
      </c>
      <c r="V47" t="str">
        <f>IF($C47&lt;&gt;"",VLOOKUP($C47,授業リスト!$A:$Z,COLUMN(),FALSE),"")</f>
        <v/>
      </c>
      <c r="W47">
        <f>IF($C47&lt;&gt;"",VLOOKUP($C47,授業リスト!$A:$Z,COLUMN(),FALSE),"")</f>
        <v>0</v>
      </c>
      <c r="X47">
        <f>IF($C47&lt;&gt;"",VLOOKUP($C47,授業リスト!$A:$Z,COLUMN(),FALSE),"")</f>
        <v>0</v>
      </c>
      <c r="Y47">
        <f>IF($C47&lt;&gt;"",VLOOKUP($C47,授業リスト!$A:$Z,COLUMN(),FALSE),"")</f>
        <v>0</v>
      </c>
      <c r="Z47">
        <f>IF($C47&lt;&gt;"",VLOOKUP($C47,授業リスト!$A:$Z,COLUMN(),FALSE),"")</f>
        <v>0</v>
      </c>
    </row>
    <row r="48" spans="1:26" ht="17">
      <c r="A48">
        <v>2</v>
      </c>
      <c r="B48" t="s">
        <v>47</v>
      </c>
      <c r="C48" s="87">
        <v>37475</v>
      </c>
      <c r="D48" t="str">
        <f>IF($C48&lt;&gt;"",VLOOKUP($C48,授業リスト!$A:$J,2,FALSE),"")</f>
        <v>Special Lectures in English Literature III</v>
      </c>
      <c r="E48" t="str">
        <f>IF($C48&lt;&gt;"",VLOOKUP($C48,授業リスト!$A:$J,3,FALSE),"")</f>
        <v/>
      </c>
      <c r="F48" t="str">
        <f>IF($C48&lt;&gt;"",VLOOKUP($C48,授業リスト!$A:$J,8,FALSE),"")</f>
        <v>Charles Dickens</v>
      </c>
      <c r="G48">
        <f>IF($C48&lt;&gt;"",VLOOKUP($C48,授業リスト!$A:$J,4,FALSE),"")</f>
        <v>2</v>
      </c>
      <c r="H48" t="str">
        <f>IF($C48&lt;&gt;"",VLOOKUP($C48,授業リスト!$A:$J,5,FALSE),"")</f>
        <v>未定</v>
      </c>
      <c r="I48" t="str">
        <f>IF($C48&lt;&gt;"",VLOOKUP($C48,授業リスト!$A:$J,6,FALSE),"")</f>
        <v>未定</v>
      </c>
      <c r="J48" t="str">
        <f>IF($C48&lt;&gt;"",VLOOKUP($C48,授業リスト!$A:$J,7,FALSE),"")</f>
        <v>未定</v>
      </c>
      <c r="K48" s="30" t="str">
        <f>IF($C48&lt;&gt;"",VLOOKUP($C48,授業リスト!$A:$J,9,FALSE),"")</f>
        <v>2～4</v>
      </c>
      <c r="N48" t="str">
        <f>IF($C48&lt;&gt;"",VLOOKUP($C48,授業リスト!$A:$Z,COLUMN(),FALSE),"")</f>
        <v/>
      </c>
      <c r="O48" t="str">
        <f>IF($C48&lt;&gt;"",VLOOKUP($C48,授業リスト!$A:$Z,COLUMN(),FALSE),"")</f>
        <v>Y</v>
      </c>
      <c r="P48" t="str">
        <f>IF($C48&lt;&gt;"",VLOOKUP($C48,授業リスト!$A:$Z,COLUMN(),FALSE),"")</f>
        <v/>
      </c>
      <c r="Q48" t="str">
        <f>IF($C48&lt;&gt;"",VLOOKUP($C48,授業リスト!$A:$Z,COLUMN(),FALSE),"")</f>
        <v/>
      </c>
      <c r="R48" t="str">
        <f>IF($C48&lt;&gt;"",VLOOKUP($C48,授業リスト!$A:$Z,COLUMN(),FALSE),"")</f>
        <v/>
      </c>
      <c r="S48" t="str">
        <f>IF($C48&lt;&gt;"",VLOOKUP($C48,授業リスト!$A:$Z,COLUMN(),FALSE),"")</f>
        <v/>
      </c>
      <c r="T48" t="str">
        <f>IF($C48&lt;&gt;"",VLOOKUP($C48,授業リスト!$A:$Z,COLUMN(),FALSE),"")</f>
        <v/>
      </c>
      <c r="U48" t="str">
        <f>IF($C48&lt;&gt;"",VLOOKUP($C48,授業リスト!$A:$Z,COLUMN(),FALSE),"")</f>
        <v/>
      </c>
      <c r="V48" t="str">
        <f>IF($C48&lt;&gt;"",VLOOKUP($C48,授業リスト!$A:$Z,COLUMN(),FALSE),"")</f>
        <v/>
      </c>
      <c r="W48">
        <f>IF($C48&lt;&gt;"",VLOOKUP($C48,授業リスト!$A:$Z,COLUMN(),FALSE),"")</f>
        <v>0</v>
      </c>
      <c r="X48">
        <f>IF($C48&lt;&gt;"",VLOOKUP($C48,授業リスト!$A:$Z,COLUMN(),FALSE),"")</f>
        <v>0</v>
      </c>
      <c r="Y48">
        <f>IF($C48&lt;&gt;"",VLOOKUP($C48,授業リスト!$A:$Z,COLUMN(),FALSE),"")</f>
        <v>0</v>
      </c>
      <c r="Z48">
        <f>IF($C48&lt;&gt;"",VLOOKUP($C48,授業リスト!$A:$Z,COLUMN(),FALSE),"")</f>
        <v>0</v>
      </c>
    </row>
    <row r="49" spans="1:26" ht="17">
      <c r="A49">
        <v>2</v>
      </c>
      <c r="B49" t="s">
        <v>47</v>
      </c>
      <c r="C49" s="87">
        <v>37458</v>
      </c>
      <c r="D49" t="str">
        <f>IF($C49&lt;&gt;"",VLOOKUP($C49,授業リスト!$A:$J,2,FALSE),"")</f>
        <v>English Communication II</v>
      </c>
      <c r="E49">
        <f>IF($C49&lt;&gt;"",VLOOKUP($C49,授業リスト!$A:$J,3,FALSE),"")</f>
        <v>0</v>
      </c>
      <c r="F49" t="str">
        <f>IF($C49&lt;&gt;"",VLOOKUP($C49,授業リスト!$A:$J,8,FALSE),"")</f>
        <v>Pablo Picasso</v>
      </c>
      <c r="G49">
        <f>IF($C49&lt;&gt;"",VLOOKUP($C49,授業リスト!$A:$J,4,FALSE),"")</f>
        <v>2</v>
      </c>
      <c r="H49" t="str">
        <f>IF($C49&lt;&gt;"",VLOOKUP($C49,授業リスト!$A:$J,5,FALSE),"")</f>
        <v>後</v>
      </c>
      <c r="I49" t="str">
        <f>IF($C49&lt;&gt;"",VLOOKUP($C49,授業リスト!$A:$J,6,FALSE),"")</f>
        <v>木</v>
      </c>
      <c r="J49">
        <f>IF($C49&lt;&gt;"",VLOOKUP($C49,授業リスト!$A:$J,7,FALSE),"")</f>
        <v>4</v>
      </c>
      <c r="K49" s="30">
        <f>IF($C49&lt;&gt;"",VLOOKUP($C49,授業リスト!$A:$J,9,FALSE),"")</f>
        <v>2</v>
      </c>
      <c r="N49" t="str">
        <f>IF($C49&lt;&gt;"",VLOOKUP($C49,授業リスト!$A:$Z,COLUMN(),FALSE),"")</f>
        <v/>
      </c>
      <c r="O49" t="str">
        <f>IF($C49&lt;&gt;"",VLOOKUP($C49,授業リスト!$A:$Z,COLUMN(),FALSE),"")</f>
        <v>Y</v>
      </c>
      <c r="P49" t="str">
        <f>IF($C49&lt;&gt;"",VLOOKUP($C49,授業リスト!$A:$Z,COLUMN(),FALSE),"")</f>
        <v/>
      </c>
      <c r="Q49" t="str">
        <f>IF($C49&lt;&gt;"",VLOOKUP($C49,授業リスト!$A:$Z,COLUMN(),FALSE),"")</f>
        <v/>
      </c>
      <c r="R49" t="str">
        <f>IF($C49&lt;&gt;"",VLOOKUP($C49,授業リスト!$A:$Z,COLUMN(),FALSE),"")</f>
        <v/>
      </c>
      <c r="S49" t="str">
        <f>IF($C49&lt;&gt;"",VLOOKUP($C49,授業リスト!$A:$Z,COLUMN(),FALSE),"")</f>
        <v/>
      </c>
      <c r="T49" t="str">
        <f>IF($C49&lt;&gt;"",VLOOKUP($C49,授業リスト!$A:$Z,COLUMN(),FALSE),"")</f>
        <v/>
      </c>
      <c r="U49" t="str">
        <f>IF($C49&lt;&gt;"",VLOOKUP($C49,授業リスト!$A:$Z,COLUMN(),FALSE),"")</f>
        <v/>
      </c>
      <c r="V49" t="str">
        <f>IF($C49&lt;&gt;"",VLOOKUP($C49,授業リスト!$A:$Z,COLUMN(),FALSE),"")</f>
        <v/>
      </c>
      <c r="W49">
        <f>IF($C49&lt;&gt;"",VLOOKUP($C49,授業リスト!$A:$Z,COLUMN(),FALSE),"")</f>
        <v>0</v>
      </c>
      <c r="X49">
        <f>IF($C49&lt;&gt;"",VLOOKUP($C49,授業リスト!$A:$Z,COLUMN(),FALSE),"")</f>
        <v>0</v>
      </c>
      <c r="Y49">
        <f>IF($C49&lt;&gt;"",VLOOKUP($C49,授業リスト!$A:$Z,COLUMN(),FALSE),"")</f>
        <v>0</v>
      </c>
      <c r="Z49">
        <f>IF($C49&lt;&gt;"",VLOOKUP($C49,授業リスト!$A:$Z,COLUMN(),FALSE),"")</f>
        <v>0</v>
      </c>
    </row>
    <row r="50" spans="1:26" ht="17">
      <c r="A50">
        <v>2</v>
      </c>
      <c r="B50" t="s">
        <v>47</v>
      </c>
      <c r="C50" s="87">
        <v>37253</v>
      </c>
      <c r="D50" t="str">
        <f>IF($C50&lt;&gt;"",VLOOKUP($C50,授業リスト!$A:$J,2,FALSE),"")</f>
        <v>Theory and Methods of Educational Counseling</v>
      </c>
      <c r="E50">
        <f>IF($C50&lt;&gt;"",VLOOKUP($C50,授業リスト!$A:$J,3,FALSE),"")</f>
        <v>0</v>
      </c>
      <c r="F50" t="str">
        <f>IF($C50&lt;&gt;"",VLOOKUP($C50,授業リスト!$A:$J,8,FALSE),"")</f>
        <v>Wolfgang Amadeus Mozart</v>
      </c>
      <c r="G50">
        <f>IF($C50&lt;&gt;"",VLOOKUP($C50,授業リスト!$A:$J,4,FALSE),"")</f>
        <v>2</v>
      </c>
      <c r="H50" t="str">
        <f>IF($C50&lt;&gt;"",VLOOKUP($C50,授業リスト!$A:$J,5,FALSE),"")</f>
        <v>後</v>
      </c>
      <c r="I50" t="str">
        <f>IF($C50&lt;&gt;"",VLOOKUP($C50,授業リスト!$A:$J,6,FALSE),"")</f>
        <v>水</v>
      </c>
      <c r="J50">
        <f>IF($C50&lt;&gt;"",VLOOKUP($C50,授業リスト!$A:$J,7,FALSE),"")</f>
        <v>2</v>
      </c>
      <c r="K50" s="30">
        <f>IF($C50&lt;&gt;"",VLOOKUP($C50,授業リスト!$A:$J,9,FALSE),"")</f>
        <v>2</v>
      </c>
      <c r="N50" t="str">
        <f>IF($C50&lt;&gt;"",VLOOKUP($C50,授業リスト!$A:$Z,COLUMN(),FALSE),"")</f>
        <v/>
      </c>
      <c r="O50" t="str">
        <f>IF($C50&lt;&gt;"",VLOOKUP($C50,授業リスト!$A:$Z,COLUMN(),FALSE),"")</f>
        <v/>
      </c>
      <c r="P50" t="str">
        <f>IF($C50&lt;&gt;"",VLOOKUP($C50,授業リスト!$A:$Z,COLUMN(),FALSE),"")</f>
        <v>Y</v>
      </c>
      <c r="Q50" t="str">
        <f>IF($C50&lt;&gt;"",VLOOKUP($C50,授業リスト!$A:$Z,COLUMN(),FALSE),"")</f>
        <v>Y</v>
      </c>
      <c r="R50" t="str">
        <f>IF($C50&lt;&gt;"",VLOOKUP($C50,授業リスト!$A:$Z,COLUMN(),FALSE),"")</f>
        <v/>
      </c>
      <c r="S50" t="str">
        <f>IF($C50&lt;&gt;"",VLOOKUP($C50,授業リスト!$A:$Z,COLUMN(),FALSE),"")</f>
        <v/>
      </c>
      <c r="T50" t="str">
        <f>IF($C50&lt;&gt;"",VLOOKUP($C50,授業リスト!$A:$Z,COLUMN(),FALSE),"")</f>
        <v/>
      </c>
      <c r="U50" t="str">
        <f>IF($C50&lt;&gt;"",VLOOKUP($C50,授業リスト!$A:$Z,COLUMN(),FALSE),"")</f>
        <v/>
      </c>
      <c r="V50" t="str">
        <f>IF($C50&lt;&gt;"",VLOOKUP($C50,授業リスト!$A:$Z,COLUMN(),FALSE),"")</f>
        <v/>
      </c>
      <c r="W50">
        <f>IF($C50&lt;&gt;"",VLOOKUP($C50,授業リスト!$A:$Z,COLUMN(),FALSE),"")</f>
        <v>0</v>
      </c>
      <c r="X50">
        <f>IF($C50&lt;&gt;"",VLOOKUP($C50,授業リスト!$A:$Z,COLUMN(),FALSE),"")</f>
        <v>0</v>
      </c>
      <c r="Y50">
        <f>IF($C50&lt;&gt;"",VLOOKUP($C50,授業リスト!$A:$Z,COLUMN(),FALSE),"")</f>
        <v>0</v>
      </c>
      <c r="Z50">
        <f>IF($C50&lt;&gt;"",VLOOKUP($C50,授業リスト!$A:$Z,COLUMN(),FALSE),"")</f>
        <v>0</v>
      </c>
    </row>
    <row r="51" spans="1:26" ht="17">
      <c r="A51">
        <v>2</v>
      </c>
      <c r="B51" t="s">
        <v>47</v>
      </c>
      <c r="C51" s="87">
        <v>38072</v>
      </c>
      <c r="D51" t="str">
        <f>IF($C51&lt;&gt;"",VLOOKUP($C51,授業リスト!$A:$J,2,FALSE),"")</f>
        <v>Teaching Methodologies for
English-mediated Instruction</v>
      </c>
      <c r="E51">
        <f>IF($C51&lt;&gt;"",VLOOKUP($C51,授業リスト!$A:$J,3,FALSE),"")</f>
        <v>0</v>
      </c>
      <c r="F51" t="str">
        <f>IF($C51&lt;&gt;"",VLOOKUP($C51,授業リスト!$A:$J,8,FALSE),"")</f>
        <v>Henry Ford</v>
      </c>
      <c r="G51">
        <f>IF($C51&lt;&gt;"",VLOOKUP($C51,授業リスト!$A:$J,4,FALSE),"")</f>
        <v>2</v>
      </c>
      <c r="H51" t="str">
        <f>IF($C51&lt;&gt;"",VLOOKUP($C51,授業リスト!$A:$J,5,FALSE),"")</f>
        <v>後</v>
      </c>
      <c r="I51" t="str">
        <f>IF($C51&lt;&gt;"",VLOOKUP($C51,授業リスト!$A:$J,6,FALSE),"")</f>
        <v>火</v>
      </c>
      <c r="J51">
        <f>IF($C51&lt;&gt;"",VLOOKUP($C51,授業リスト!$A:$J,7,FALSE),"")</f>
        <v>2</v>
      </c>
      <c r="K51" s="30" t="str">
        <f>IF($C51&lt;&gt;"",VLOOKUP($C51,授業リスト!$A:$J,9,FALSE),"")</f>
        <v>2～4</v>
      </c>
      <c r="N51" t="str">
        <f>IF($C51&lt;&gt;"",VLOOKUP($C51,授業リスト!$A:$Z,COLUMN(),FALSE),"")</f>
        <v/>
      </c>
      <c r="O51" t="str">
        <f>IF($C51&lt;&gt;"",VLOOKUP($C51,授業リスト!$A:$Z,COLUMN(),FALSE),"")</f>
        <v/>
      </c>
      <c r="P51" t="str">
        <f>IF($C51&lt;&gt;"",VLOOKUP($C51,授業リスト!$A:$Z,COLUMN(),FALSE),"")</f>
        <v/>
      </c>
      <c r="Q51" t="str">
        <f>IF($C51&lt;&gt;"",VLOOKUP($C51,授業リスト!$A:$Z,COLUMN(),FALSE),"")</f>
        <v/>
      </c>
      <c r="R51" t="str">
        <f>IF($C51&lt;&gt;"",VLOOKUP($C51,授業リスト!$A:$Z,COLUMN(),FALSE),"")</f>
        <v/>
      </c>
      <c r="S51" t="str">
        <f>IF($C51&lt;&gt;"",VLOOKUP($C51,授業リスト!$A:$Z,COLUMN(),FALSE),"")</f>
        <v/>
      </c>
      <c r="T51" t="str">
        <f>IF($C51&lt;&gt;"",VLOOKUP($C51,授業リスト!$A:$Z,COLUMN(),FALSE),"")</f>
        <v/>
      </c>
      <c r="U51" t="str">
        <f>IF($C51&lt;&gt;"",VLOOKUP($C51,授業リスト!$A:$Z,COLUMN(),FALSE),"")</f>
        <v/>
      </c>
      <c r="V51" t="str">
        <f>IF($C51&lt;&gt;"",VLOOKUP($C51,授業リスト!$A:$Z,COLUMN(),FALSE),"")</f>
        <v/>
      </c>
      <c r="W51">
        <f>IF($C51&lt;&gt;"",VLOOKUP($C51,授業リスト!$A:$Z,COLUMN(),FALSE),"")</f>
        <v>0</v>
      </c>
      <c r="X51">
        <f>IF($C51&lt;&gt;"",VLOOKUP($C51,授業リスト!$A:$Z,COLUMN(),FALSE),"")</f>
        <v>0</v>
      </c>
      <c r="Y51">
        <f>IF($C51&lt;&gt;"",VLOOKUP($C51,授業リスト!$A:$Z,COLUMN(),FALSE),"")</f>
        <v>0</v>
      </c>
      <c r="Z51">
        <f>IF($C51&lt;&gt;"",VLOOKUP($C51,授業リスト!$A:$Z,COLUMN(),FALSE),"")</f>
        <v>0</v>
      </c>
    </row>
    <row r="52" spans="1:26" ht="17">
      <c r="A52">
        <v>2</v>
      </c>
      <c r="B52" t="s">
        <v>47</v>
      </c>
      <c r="C52" s="87">
        <v>37484</v>
      </c>
      <c r="D52" t="str">
        <f>IF($C52&lt;&gt;"",VLOOKUP($C52,授業リスト!$A:$J,2,FALSE),"")</f>
        <v>Special Lectures in English Communication Studies II</v>
      </c>
      <c r="E52">
        <f>IF($C52&lt;&gt;"",VLOOKUP($C52,授業リスト!$A:$J,3,FALSE),"")</f>
        <v>0</v>
      </c>
      <c r="F52" t="str">
        <f>IF($C52&lt;&gt;"",VLOOKUP($C52,授業リスト!$A:$J,8,FALSE),"")</f>
        <v>Amelia Earhart</v>
      </c>
      <c r="G52">
        <f>IF($C52&lt;&gt;"",VLOOKUP($C52,授業リスト!$A:$J,4,FALSE),"")</f>
        <v>2</v>
      </c>
      <c r="H52" t="str">
        <f>IF($C52&lt;&gt;"",VLOOKUP($C52,授業リスト!$A:$J,5,FALSE),"")</f>
        <v>後</v>
      </c>
      <c r="I52" t="str">
        <f>IF($C52&lt;&gt;"",VLOOKUP($C52,授業リスト!$A:$J,6,FALSE),"")</f>
        <v>木</v>
      </c>
      <c r="J52">
        <f>IF($C52&lt;&gt;"",VLOOKUP($C52,授業リスト!$A:$J,7,FALSE),"")</f>
        <v>2</v>
      </c>
      <c r="K52" s="30" t="str">
        <f>IF($C52&lt;&gt;"",VLOOKUP($C52,授業リスト!$A:$J,9,FALSE),"")</f>
        <v>2～4</v>
      </c>
      <c r="N52" t="str">
        <f>IF($C52&lt;&gt;"",VLOOKUP($C52,授業リスト!$A:$Z,COLUMN(),FALSE),"")</f>
        <v/>
      </c>
      <c r="O52" t="str">
        <f>IF($C52&lt;&gt;"",VLOOKUP($C52,授業リスト!$A:$Z,COLUMN(),FALSE),"")</f>
        <v>Y</v>
      </c>
      <c r="P52" t="str">
        <f>IF($C52&lt;&gt;"",VLOOKUP($C52,授業リスト!$A:$Z,COLUMN(),FALSE),"")</f>
        <v/>
      </c>
      <c r="Q52" t="str">
        <f>IF($C52&lt;&gt;"",VLOOKUP($C52,授業リスト!$A:$Z,COLUMN(),FALSE),"")</f>
        <v/>
      </c>
      <c r="R52" t="str">
        <f>IF($C52&lt;&gt;"",VLOOKUP($C52,授業リスト!$A:$Z,COLUMN(),FALSE),"")</f>
        <v/>
      </c>
      <c r="S52" t="str">
        <f>IF($C52&lt;&gt;"",VLOOKUP($C52,授業リスト!$A:$Z,COLUMN(),FALSE),"")</f>
        <v/>
      </c>
      <c r="T52" t="str">
        <f>IF($C52&lt;&gt;"",VLOOKUP($C52,授業リスト!$A:$Z,COLUMN(),FALSE),"")</f>
        <v/>
      </c>
      <c r="U52" t="str">
        <f>IF($C52&lt;&gt;"",VLOOKUP($C52,授業リスト!$A:$Z,COLUMN(),FALSE),"")</f>
        <v/>
      </c>
      <c r="V52" t="str">
        <f>IF($C52&lt;&gt;"",VLOOKUP($C52,授業リスト!$A:$Z,COLUMN(),FALSE),"")</f>
        <v/>
      </c>
      <c r="W52">
        <f>IF($C52&lt;&gt;"",VLOOKUP($C52,授業リスト!$A:$Z,COLUMN(),FALSE),"")</f>
        <v>0</v>
      </c>
      <c r="X52">
        <f>IF($C52&lt;&gt;"",VLOOKUP($C52,授業リスト!$A:$Z,COLUMN(),FALSE),"")</f>
        <v>0</v>
      </c>
      <c r="Y52">
        <f>IF($C52&lt;&gt;"",VLOOKUP($C52,授業リスト!$A:$Z,COLUMN(),FALSE),"")</f>
        <v>0</v>
      </c>
      <c r="Z52">
        <f>IF($C52&lt;&gt;"",VLOOKUP($C52,授業リスト!$A:$Z,COLUMN(),FALSE),"")</f>
        <v>0</v>
      </c>
    </row>
    <row r="53" spans="1:26" ht="17">
      <c r="A53">
        <v>2</v>
      </c>
      <c r="B53" t="s">
        <v>47</v>
      </c>
      <c r="C53" s="87">
        <v>37468</v>
      </c>
      <c r="D53" t="str">
        <f>IF($C53&lt;&gt;"",VLOOKUP($C53,授業リスト!$A:$J,2,FALSE),"")</f>
        <v>Special Lectures in English Linguistics II</v>
      </c>
      <c r="E53" t="str">
        <f>IF($C53&lt;&gt;"",VLOOKUP($C53,授業リスト!$A:$J,3,FALSE),"")</f>
        <v/>
      </c>
      <c r="F53" t="str">
        <f>IF($C53&lt;&gt;"",VLOOKUP($C53,授業リスト!$A:$J,8,FALSE),"")</f>
        <v>John Locke</v>
      </c>
      <c r="G53">
        <f>IF($C53&lt;&gt;"",VLOOKUP($C53,授業リスト!$A:$J,4,FALSE),"")</f>
        <v>2</v>
      </c>
      <c r="H53" t="str">
        <f>IF($C53&lt;&gt;"",VLOOKUP($C53,授業リスト!$A:$J,5,FALSE),"")</f>
        <v>後</v>
      </c>
      <c r="I53" t="str">
        <f>IF($C53&lt;&gt;"",VLOOKUP($C53,授業リスト!$A:$J,6,FALSE),"")</f>
        <v>水</v>
      </c>
      <c r="J53">
        <f>IF($C53&lt;&gt;"",VLOOKUP($C53,授業リスト!$A:$J,7,FALSE),"")</f>
        <v>5</v>
      </c>
      <c r="K53" s="30" t="str">
        <f>IF($C53&lt;&gt;"",VLOOKUP($C53,授業リスト!$A:$J,9,FALSE),"")</f>
        <v>2～4</v>
      </c>
      <c r="N53" t="str">
        <f>IF($C53&lt;&gt;"",VLOOKUP($C53,授業リスト!$A:$Z,COLUMN(),FALSE),"")</f>
        <v/>
      </c>
      <c r="O53" t="str">
        <f>IF($C53&lt;&gt;"",VLOOKUP($C53,授業リスト!$A:$Z,COLUMN(),FALSE),"")</f>
        <v>Y</v>
      </c>
      <c r="P53" t="str">
        <f>IF($C53&lt;&gt;"",VLOOKUP($C53,授業リスト!$A:$Z,COLUMN(),FALSE),"")</f>
        <v/>
      </c>
      <c r="Q53" t="str">
        <f>IF($C53&lt;&gt;"",VLOOKUP($C53,授業リスト!$A:$Z,COLUMN(),FALSE),"")</f>
        <v/>
      </c>
      <c r="R53" t="str">
        <f>IF($C53&lt;&gt;"",VLOOKUP($C53,授業リスト!$A:$Z,COLUMN(),FALSE),"")</f>
        <v/>
      </c>
      <c r="S53" t="str">
        <f>IF($C53&lt;&gt;"",VLOOKUP($C53,授業リスト!$A:$Z,COLUMN(),FALSE),"")</f>
        <v/>
      </c>
      <c r="T53" t="str">
        <f>IF($C53&lt;&gt;"",VLOOKUP($C53,授業リスト!$A:$Z,COLUMN(),FALSE),"")</f>
        <v/>
      </c>
      <c r="U53" t="str">
        <f>IF($C53&lt;&gt;"",VLOOKUP($C53,授業リスト!$A:$Z,COLUMN(),FALSE),"")</f>
        <v/>
      </c>
      <c r="V53" t="str">
        <f>IF($C53&lt;&gt;"",VLOOKUP($C53,授業リスト!$A:$Z,COLUMN(),FALSE),"")</f>
        <v/>
      </c>
      <c r="W53">
        <f>IF($C53&lt;&gt;"",VLOOKUP($C53,授業リスト!$A:$Z,COLUMN(),FALSE),"")</f>
        <v>0</v>
      </c>
      <c r="X53">
        <f>IF($C53&lt;&gt;"",VLOOKUP($C53,授業リスト!$A:$Z,COLUMN(),FALSE),"")</f>
        <v>0</v>
      </c>
      <c r="Y53">
        <f>IF($C53&lt;&gt;"",VLOOKUP($C53,授業リスト!$A:$Z,COLUMN(),FALSE),"")</f>
        <v>0</v>
      </c>
      <c r="Z53">
        <f>IF($C53&lt;&gt;"",VLOOKUP($C53,授業リスト!$A:$Z,COLUMN(),FALSE),"")</f>
        <v>0</v>
      </c>
    </row>
    <row r="54" spans="1:26" ht="17">
      <c r="A54">
        <v>2</v>
      </c>
      <c r="B54" t="s">
        <v>47</v>
      </c>
      <c r="C54" s="87">
        <v>38103</v>
      </c>
      <c r="D54" t="str">
        <f>IF($C54&lt;&gt;"",VLOOKUP($C54,授業リスト!$A:$J,2,FALSE),"")</f>
        <v>School Education Practice and Reflection II</v>
      </c>
      <c r="E54" t="str">
        <f>IF($C54&lt;&gt;"",VLOOKUP($C54,授業リスト!$A:$J,3,FALSE),"")</f>
        <v/>
      </c>
      <c r="F54" t="str">
        <f>IF($C54&lt;&gt;"",VLOOKUP($C54,授業リスト!$A:$J,8,FALSE),"")</f>
        <v>Antoine de Saint-Exupéry</v>
      </c>
      <c r="G54">
        <f>IF($C54&lt;&gt;"",VLOOKUP($C54,授業リスト!$A:$J,4,FALSE),"")</f>
        <v>2</v>
      </c>
      <c r="H54" t="str">
        <f>IF($C54&lt;&gt;"",VLOOKUP($C54,授業リスト!$A:$J,5,FALSE),"")</f>
        <v>通年</v>
      </c>
      <c r="I54" t="str">
        <f>IF($C54&lt;&gt;"",VLOOKUP($C54,授業リスト!$A:$J,6,FALSE),"")</f>
        <v>金</v>
      </c>
      <c r="J54" t="str">
        <f>IF($C54&lt;&gt;"",VLOOKUP($C54,授業リスト!$A:$J,7,FALSE),"")</f>
        <v>1-2</v>
      </c>
      <c r="K54" s="30">
        <f>IF($C54&lt;&gt;"",VLOOKUP($C54,授業リスト!$A:$J,9,FALSE),"")</f>
        <v>2</v>
      </c>
      <c r="N54" t="str">
        <f>IF($C54&lt;&gt;"",VLOOKUP($C54,授業リスト!$A:$Z,COLUMN(),FALSE),"")</f>
        <v/>
      </c>
      <c r="O54" t="str">
        <f>IF($C54&lt;&gt;"",VLOOKUP($C54,授業リスト!$A:$Z,COLUMN(),FALSE),"")</f>
        <v/>
      </c>
      <c r="P54" t="str">
        <f>IF($C54&lt;&gt;"",VLOOKUP($C54,授業リスト!$A:$Z,COLUMN(),FALSE),"")</f>
        <v>Y</v>
      </c>
      <c r="Q54" t="str">
        <f>IF($C54&lt;&gt;"",VLOOKUP($C54,授業リスト!$A:$Z,COLUMN(),FALSE),"")</f>
        <v/>
      </c>
      <c r="R54" t="str">
        <f>IF($C54&lt;&gt;"",VLOOKUP($C54,授業リスト!$A:$Z,COLUMN(),FALSE),"")</f>
        <v>Y</v>
      </c>
      <c r="S54" t="str">
        <f>IF($C54&lt;&gt;"",VLOOKUP($C54,授業リスト!$A:$Z,COLUMN(),FALSE),"")</f>
        <v/>
      </c>
      <c r="T54" t="str">
        <f>IF($C54&lt;&gt;"",VLOOKUP($C54,授業リスト!$A:$Z,COLUMN(),FALSE),"")</f>
        <v/>
      </c>
      <c r="U54" t="str">
        <f>IF($C54&lt;&gt;"",VLOOKUP($C54,授業リスト!$A:$Z,COLUMN(),FALSE),"")</f>
        <v/>
      </c>
      <c r="V54" t="str">
        <f>IF($C54&lt;&gt;"",VLOOKUP($C54,授業リスト!$A:$Z,COLUMN(),FALSE),"")</f>
        <v/>
      </c>
      <c r="W54">
        <f>IF($C54&lt;&gt;"",VLOOKUP($C54,授業リスト!$A:$Z,COLUMN(),FALSE),"")</f>
        <v>0</v>
      </c>
      <c r="X54">
        <f>IF($C54&lt;&gt;"",VLOOKUP($C54,授業リスト!$A:$Z,COLUMN(),FALSE),"")</f>
        <v>0</v>
      </c>
      <c r="Y54">
        <f>IF($C54&lt;&gt;"",VLOOKUP($C54,授業リスト!$A:$Z,COLUMN(),FALSE),"")</f>
        <v>0</v>
      </c>
      <c r="Z54">
        <f>IF($C54&lt;&gt;"",VLOOKUP($C54,授業リスト!$A:$Z,COLUMN(),FALSE),"")</f>
        <v>0</v>
      </c>
    </row>
    <row r="55" spans="1:26" ht="17">
      <c r="A55">
        <v>2</v>
      </c>
      <c r="B55" t="s">
        <v>47</v>
      </c>
      <c r="C55" s="87">
        <v>37229</v>
      </c>
      <c r="D55" t="str">
        <f>IF($C55&lt;&gt;"",VLOOKUP($C55,授業リスト!$A:$J,2,FALSE),"")</f>
        <v>Teaching Methods for Secondary English I</v>
      </c>
      <c r="E55">
        <f>IF($C55&lt;&gt;"",VLOOKUP($C55,授業リスト!$A:$J,3,FALSE),"")</f>
        <v>0</v>
      </c>
      <c r="F55" t="str">
        <f>IF($C55&lt;&gt;"",VLOOKUP($C55,授業リスト!$A:$J,8,FALSE),"")</f>
        <v>Leo Tolstoy</v>
      </c>
      <c r="G55">
        <f>IF($C55&lt;&gt;"",VLOOKUP($C55,授業リスト!$A:$J,4,FALSE),"")</f>
        <v>2</v>
      </c>
      <c r="H55" t="str">
        <f>IF($C55&lt;&gt;"",VLOOKUP($C55,授業リスト!$A:$J,5,FALSE),"")</f>
        <v>後</v>
      </c>
      <c r="I55" t="str">
        <f>IF($C55&lt;&gt;"",VLOOKUP($C55,授業リスト!$A:$J,6,FALSE),"")</f>
        <v>木</v>
      </c>
      <c r="J55">
        <f>IF($C55&lt;&gt;"",VLOOKUP($C55,授業リスト!$A:$J,7,FALSE),"")</f>
        <v>3</v>
      </c>
      <c r="K55" s="30">
        <f>IF($C55&lt;&gt;"",VLOOKUP($C55,授業リスト!$A:$J,9,FALSE),"")</f>
        <v>2</v>
      </c>
      <c r="N55" t="str">
        <f>IF($C55&lt;&gt;"",VLOOKUP($C55,授業リスト!$A:$Z,COLUMN(),FALSE),"")</f>
        <v/>
      </c>
      <c r="O55" t="str">
        <f>IF($C55&lt;&gt;"",VLOOKUP($C55,授業リスト!$A:$Z,COLUMN(),FALSE),"")</f>
        <v>Y</v>
      </c>
      <c r="P55" t="str">
        <f>IF($C55&lt;&gt;"",VLOOKUP($C55,授業リスト!$A:$Z,COLUMN(),FALSE),"")</f>
        <v/>
      </c>
      <c r="Q55" t="str">
        <f>IF($C55&lt;&gt;"",VLOOKUP($C55,授業リスト!$A:$Z,COLUMN(),FALSE),"")</f>
        <v/>
      </c>
      <c r="R55" t="str">
        <f>IF($C55&lt;&gt;"",VLOOKUP($C55,授業リスト!$A:$Z,COLUMN(),FALSE),"")</f>
        <v/>
      </c>
      <c r="S55" t="str">
        <f>IF($C55&lt;&gt;"",VLOOKUP($C55,授業リスト!$A:$Z,COLUMN(),FALSE),"")</f>
        <v/>
      </c>
      <c r="T55" t="str">
        <f>IF($C55&lt;&gt;"",VLOOKUP($C55,授業リスト!$A:$Z,COLUMN(),FALSE),"")</f>
        <v/>
      </c>
      <c r="U55" t="str">
        <f>IF($C55&lt;&gt;"",VLOOKUP($C55,授業リスト!$A:$Z,COLUMN(),FALSE),"")</f>
        <v/>
      </c>
      <c r="V55" t="str">
        <f>IF($C55&lt;&gt;"",VLOOKUP($C55,授業リスト!$A:$Z,COLUMN(),FALSE),"")</f>
        <v/>
      </c>
      <c r="W55">
        <f>IF($C55&lt;&gt;"",VLOOKUP($C55,授業リスト!$A:$Z,COLUMN(),FALSE),"")</f>
        <v>0</v>
      </c>
      <c r="X55">
        <f>IF($C55&lt;&gt;"",VLOOKUP($C55,授業リスト!$A:$Z,COLUMN(),FALSE),"")</f>
        <v>0</v>
      </c>
      <c r="Y55">
        <f>IF($C55&lt;&gt;"",VLOOKUP($C55,授業リスト!$A:$Z,COLUMN(),FALSE),"")</f>
        <v>0</v>
      </c>
      <c r="Z55">
        <f>IF($C55&lt;&gt;"",VLOOKUP($C55,授業リスト!$A:$Z,COLUMN(),FALSE),"")</f>
        <v>0</v>
      </c>
    </row>
    <row r="56" spans="1:26" ht="17">
      <c r="A56">
        <v>2</v>
      </c>
      <c r="B56" t="s">
        <v>47</v>
      </c>
      <c r="C56" s="87">
        <v>37002</v>
      </c>
      <c r="D56" t="str">
        <f>IF($C56&lt;&gt;"",VLOOKUP($C56,授業リスト!$A:$J,2,FALSE),"")</f>
        <v>Civics</v>
      </c>
      <c r="E56" t="str">
        <f>IF($C56&lt;&gt;"",VLOOKUP($C56,授業リスト!$A:$J,3,FALSE),"")</f>
        <v>BCD</v>
      </c>
      <c r="F56" t="str">
        <f>IF($C56&lt;&gt;"",VLOOKUP($C56,授業リスト!$A:$J,8,FALSE),"")</f>
        <v>Marie Curie</v>
      </c>
      <c r="G56">
        <f>IF($C56&lt;&gt;"",VLOOKUP($C56,授業リスト!$A:$J,4,FALSE),"")</f>
        <v>2</v>
      </c>
      <c r="H56" t="str">
        <f>IF($C56&lt;&gt;"",VLOOKUP($C56,授業リスト!$A:$J,5,FALSE),"")</f>
        <v>後</v>
      </c>
      <c r="I56" t="str">
        <f>IF($C56&lt;&gt;"",VLOOKUP($C56,授業リスト!$A:$J,6,FALSE),"")</f>
        <v>金</v>
      </c>
      <c r="J56">
        <f>IF($C56&lt;&gt;"",VLOOKUP($C56,授業リスト!$A:$J,7,FALSE),"")</f>
        <v>3</v>
      </c>
      <c r="K56" s="30">
        <f>IF($C56&lt;&gt;"",VLOOKUP($C56,授業リスト!$A:$J,9,FALSE),"")</f>
        <v>2</v>
      </c>
      <c r="N56" t="str">
        <f>IF($C56&lt;&gt;"",VLOOKUP($C56,授業リスト!$A:$Z,COLUMN(),FALSE),"")</f>
        <v>Y</v>
      </c>
      <c r="O56" t="str">
        <f>IF($C56&lt;&gt;"",VLOOKUP($C56,授業リスト!$A:$Z,COLUMN(),FALSE),"")</f>
        <v/>
      </c>
      <c r="P56" t="str">
        <f>IF($C56&lt;&gt;"",VLOOKUP($C56,授業リスト!$A:$Z,COLUMN(),FALSE),"")</f>
        <v/>
      </c>
      <c r="Q56" t="str">
        <f>IF($C56&lt;&gt;"",VLOOKUP($C56,授業リスト!$A:$Z,COLUMN(),FALSE),"")</f>
        <v/>
      </c>
      <c r="R56" t="str">
        <f>IF($C56&lt;&gt;"",VLOOKUP($C56,授業リスト!$A:$Z,COLUMN(),FALSE),"")</f>
        <v/>
      </c>
      <c r="S56" t="str">
        <f>IF($C56&lt;&gt;"",VLOOKUP($C56,授業リスト!$A:$Z,COLUMN(),FALSE),"")</f>
        <v/>
      </c>
      <c r="T56" t="str">
        <f>IF($C56&lt;&gt;"",VLOOKUP($C56,授業リスト!$A:$Z,COLUMN(),FALSE),"")</f>
        <v/>
      </c>
      <c r="U56" t="str">
        <f>IF($C56&lt;&gt;"",VLOOKUP($C56,授業リスト!$A:$Z,COLUMN(),FALSE),"")</f>
        <v/>
      </c>
      <c r="V56" t="str">
        <f>IF($C56&lt;&gt;"",VLOOKUP($C56,授業リスト!$A:$Z,COLUMN(),FALSE),"")</f>
        <v/>
      </c>
      <c r="W56">
        <f>IF($C56&lt;&gt;"",VLOOKUP($C56,授業リスト!$A:$Z,COLUMN(),FALSE),"")</f>
        <v>0</v>
      </c>
      <c r="X56">
        <f>IF($C56&lt;&gt;"",VLOOKUP($C56,授業リスト!$A:$Z,COLUMN(),FALSE),"")</f>
        <v>0</v>
      </c>
      <c r="Y56">
        <f>IF($C56&lt;&gt;"",VLOOKUP($C56,授業リスト!$A:$Z,COLUMN(),FALSE),"")</f>
        <v>0</v>
      </c>
      <c r="Z56">
        <f>IF($C56&lt;&gt;"",VLOOKUP($C56,授業リスト!$A:$Z,COLUMN(),FALSE),"")</f>
        <v>0</v>
      </c>
    </row>
    <row r="57" spans="1:26" ht="17">
      <c r="A57">
        <v>2</v>
      </c>
      <c r="B57" t="s">
        <v>47</v>
      </c>
      <c r="C57" s="87">
        <v>37455</v>
      </c>
      <c r="D57" t="str">
        <f>IF($C57&lt;&gt;"",VLOOKUP($C57,授業リスト!$A:$J,2,FALSE),"")</f>
        <v>English Literature Exercises I</v>
      </c>
      <c r="E57" t="str">
        <f>IF($C57&lt;&gt;"",VLOOKUP($C57,授業リスト!$A:$J,3,FALSE),"")</f>
        <v/>
      </c>
      <c r="F57" t="str">
        <f>IF($C57&lt;&gt;"",VLOOKUP($C57,授業リスト!$A:$J,8,FALSE),"")</f>
        <v>Benjamin Franklin</v>
      </c>
      <c r="G57">
        <f>IF($C57&lt;&gt;"",VLOOKUP($C57,授業リスト!$A:$J,4,FALSE),"")</f>
        <v>2</v>
      </c>
      <c r="H57" t="str">
        <f>IF($C57&lt;&gt;"",VLOOKUP($C57,授業リスト!$A:$J,5,FALSE),"")</f>
        <v>後</v>
      </c>
      <c r="I57" t="str">
        <f>IF($C57&lt;&gt;"",VLOOKUP($C57,授業リスト!$A:$J,6,FALSE),"")</f>
        <v>水</v>
      </c>
      <c r="J57">
        <f>IF($C57&lt;&gt;"",VLOOKUP($C57,授業リスト!$A:$J,7,FALSE),"")</f>
        <v>4</v>
      </c>
      <c r="K57" s="30">
        <f>IF($C57&lt;&gt;"",VLOOKUP($C57,授業リスト!$A:$J,9,FALSE),"")</f>
        <v>2</v>
      </c>
      <c r="N57" t="str">
        <f>IF($C57&lt;&gt;"",VLOOKUP($C57,授業リスト!$A:$Z,COLUMN(),FALSE),"")</f>
        <v/>
      </c>
      <c r="O57" t="str">
        <f>IF($C57&lt;&gt;"",VLOOKUP($C57,授業リスト!$A:$Z,COLUMN(),FALSE),"")</f>
        <v>Y</v>
      </c>
      <c r="P57" t="str">
        <f>IF($C57&lt;&gt;"",VLOOKUP($C57,授業リスト!$A:$Z,COLUMN(),FALSE),"")</f>
        <v/>
      </c>
      <c r="Q57" t="str">
        <f>IF($C57&lt;&gt;"",VLOOKUP($C57,授業リスト!$A:$Z,COLUMN(),FALSE),"")</f>
        <v/>
      </c>
      <c r="R57" t="str">
        <f>IF($C57&lt;&gt;"",VLOOKUP($C57,授業リスト!$A:$Z,COLUMN(),FALSE),"")</f>
        <v/>
      </c>
      <c r="S57" t="str">
        <f>IF($C57&lt;&gt;"",VLOOKUP($C57,授業リスト!$A:$Z,COLUMN(),FALSE),"")</f>
        <v/>
      </c>
      <c r="T57" t="str">
        <f>IF($C57&lt;&gt;"",VLOOKUP($C57,授業リスト!$A:$Z,COLUMN(),FALSE),"")</f>
        <v/>
      </c>
      <c r="U57" t="str">
        <f>IF($C57&lt;&gt;"",VLOOKUP($C57,授業リスト!$A:$Z,COLUMN(),FALSE),"")</f>
        <v/>
      </c>
      <c r="V57" t="str">
        <f>IF($C57&lt;&gt;"",VLOOKUP($C57,授業リスト!$A:$Z,COLUMN(),FALSE),"")</f>
        <v/>
      </c>
      <c r="W57">
        <f>IF($C57&lt;&gt;"",VLOOKUP($C57,授業リスト!$A:$Z,COLUMN(),FALSE),"")</f>
        <v>0</v>
      </c>
      <c r="X57">
        <f>IF($C57&lt;&gt;"",VLOOKUP($C57,授業リスト!$A:$Z,COLUMN(),FALSE),"")</f>
        <v>0</v>
      </c>
      <c r="Y57">
        <f>IF($C57&lt;&gt;"",VLOOKUP($C57,授業リスト!$A:$Z,COLUMN(),FALSE),"")</f>
        <v>0</v>
      </c>
      <c r="Z57">
        <f>IF($C57&lt;&gt;"",VLOOKUP($C57,授業リスト!$A:$Z,COLUMN(),FALSE),"")</f>
        <v>0</v>
      </c>
    </row>
    <row r="58" spans="1:26" ht="17">
      <c r="A58">
        <v>2</v>
      </c>
      <c r="B58" t="s">
        <v>47</v>
      </c>
      <c r="C58" s="87">
        <v>37460</v>
      </c>
      <c r="D58" t="str">
        <f>IF($C58&lt;&gt;"",VLOOKUP($C58,授業リスト!$A:$J,2,FALSE),"")</f>
        <v>Academic Writing I</v>
      </c>
      <c r="E58" t="str">
        <f>IF($C58&lt;&gt;"",VLOOKUP($C58,授業リスト!$A:$J,3,FALSE),"")</f>
        <v/>
      </c>
      <c r="F58" t="str">
        <f>IF($C58&lt;&gt;"",VLOOKUP($C58,授業リスト!$A:$J,8,FALSE),"")</f>
        <v>William Wordsworth</v>
      </c>
      <c r="G58">
        <f>IF($C58&lt;&gt;"",VLOOKUP($C58,授業リスト!$A:$J,4,FALSE),"")</f>
        <v>2</v>
      </c>
      <c r="H58" t="str">
        <f>IF($C58&lt;&gt;"",VLOOKUP($C58,授業リスト!$A:$J,5,FALSE),"")</f>
        <v>後</v>
      </c>
      <c r="I58" t="str">
        <f>IF($C58&lt;&gt;"",VLOOKUP($C58,授業リスト!$A:$J,6,FALSE),"")</f>
        <v>火</v>
      </c>
      <c r="J58">
        <f>IF($C58&lt;&gt;"",VLOOKUP($C58,授業リスト!$A:$J,7,FALSE),"")</f>
        <v>4</v>
      </c>
      <c r="K58" s="30">
        <f>IF($C58&lt;&gt;"",VLOOKUP($C58,授業リスト!$A:$J,9,FALSE),"")</f>
        <v>3</v>
      </c>
      <c r="N58" t="str">
        <f>IF($C58&lt;&gt;"",VLOOKUP($C58,授業リスト!$A:$Z,COLUMN(),FALSE),"")</f>
        <v/>
      </c>
      <c r="O58" t="str">
        <f>IF($C58&lt;&gt;"",VLOOKUP($C58,授業リスト!$A:$Z,COLUMN(),FALSE),"")</f>
        <v>Y</v>
      </c>
      <c r="P58" t="str">
        <f>IF($C58&lt;&gt;"",VLOOKUP($C58,授業リスト!$A:$Z,COLUMN(),FALSE),"")</f>
        <v/>
      </c>
      <c r="Q58" t="str">
        <f>IF($C58&lt;&gt;"",VLOOKUP($C58,授業リスト!$A:$Z,COLUMN(),FALSE),"")</f>
        <v/>
      </c>
      <c r="R58" t="str">
        <f>IF($C58&lt;&gt;"",VLOOKUP($C58,授業リスト!$A:$Z,COLUMN(),FALSE),"")</f>
        <v/>
      </c>
      <c r="S58" t="str">
        <f>IF($C58&lt;&gt;"",VLOOKUP($C58,授業リスト!$A:$Z,COLUMN(),FALSE),"")</f>
        <v/>
      </c>
      <c r="T58" t="str">
        <f>IF($C58&lt;&gt;"",VLOOKUP($C58,授業リスト!$A:$Z,COLUMN(),FALSE),"")</f>
        <v/>
      </c>
      <c r="U58" t="str">
        <f>IF($C58&lt;&gt;"",VLOOKUP($C58,授業リスト!$A:$Z,COLUMN(),FALSE),"")</f>
        <v/>
      </c>
      <c r="V58" t="str">
        <f>IF($C58&lt;&gt;"",VLOOKUP($C58,授業リスト!$A:$Z,COLUMN(),FALSE),"")</f>
        <v/>
      </c>
      <c r="W58">
        <f>IF($C58&lt;&gt;"",VLOOKUP($C58,授業リスト!$A:$Z,COLUMN(),FALSE),"")</f>
        <v>0</v>
      </c>
      <c r="X58">
        <f>IF($C58&lt;&gt;"",VLOOKUP($C58,授業リスト!$A:$Z,COLUMN(),FALSE),"")</f>
        <v>0</v>
      </c>
      <c r="Y58">
        <f>IF($C58&lt;&gt;"",VLOOKUP($C58,授業リスト!$A:$Z,COLUMN(),FALSE),"")</f>
        <v>0</v>
      </c>
      <c r="Z58">
        <f>IF($C58&lt;&gt;"",VLOOKUP($C58,授業リスト!$A:$Z,COLUMN(),FALSE),"")</f>
        <v>0</v>
      </c>
    </row>
    <row r="59" spans="1:26" ht="17">
      <c r="A59" s="37">
        <v>3</v>
      </c>
      <c r="B59" s="37" t="s">
        <v>69</v>
      </c>
      <c r="C59" s="85">
        <v>37230</v>
      </c>
      <c r="D59" s="37" t="str">
        <f>IF($C59&lt;&gt;"",VLOOKUP($C59,授業リスト!$A:$J,2,FALSE),"")</f>
        <v>Teaching Methods for Secondary English II</v>
      </c>
      <c r="E59" s="37">
        <f>IF($C59&lt;&gt;"",VLOOKUP($C59,授業リスト!$A:$J,3,FALSE),"")</f>
        <v>0</v>
      </c>
      <c r="F59" s="37" t="str">
        <f>IF($C59&lt;&gt;"",VLOOKUP($C59,授業リスト!$A:$J,8,FALSE),"")</f>
        <v>Henry David Thoreau</v>
      </c>
      <c r="G59" s="37">
        <f>IF($C59&lt;&gt;"",VLOOKUP($C59,授業リスト!$A:$J,4,FALSE),"")</f>
        <v>2</v>
      </c>
      <c r="H59" s="37" t="str">
        <f>IF($C59&lt;&gt;"",VLOOKUP($C59,授業リスト!$A:$J,5,FALSE),"")</f>
        <v>前</v>
      </c>
      <c r="I59" s="37" t="str">
        <f>IF($C59&lt;&gt;"",VLOOKUP($C59,授業リスト!$A:$J,6,FALSE),"")</f>
        <v>金</v>
      </c>
      <c r="J59" s="37">
        <f>IF($C59&lt;&gt;"",VLOOKUP($C59,授業リスト!$A:$J,7,FALSE),"")</f>
        <v>3</v>
      </c>
      <c r="K59" s="38">
        <f>IF($C59&lt;&gt;"",VLOOKUP($C59,授業リスト!$A:$J,9,FALSE),"")</f>
        <v>3</v>
      </c>
      <c r="N59" t="str">
        <f>IF($C59&lt;&gt;"",VLOOKUP($C59,授業リスト!$A:$Z,COLUMN(),FALSE),"")</f>
        <v/>
      </c>
      <c r="O59" t="str">
        <f>IF($C59&lt;&gt;"",VLOOKUP($C59,授業リスト!$A:$Z,COLUMN(),FALSE),"")</f>
        <v>Y</v>
      </c>
      <c r="P59" t="str">
        <f>IF($C59&lt;&gt;"",VLOOKUP($C59,授業リスト!$A:$Z,COLUMN(),FALSE),"")</f>
        <v/>
      </c>
      <c r="Q59" t="str">
        <f>IF($C59&lt;&gt;"",VLOOKUP($C59,授業リスト!$A:$Z,COLUMN(),FALSE),"")</f>
        <v/>
      </c>
      <c r="R59" t="str">
        <f>IF($C59&lt;&gt;"",VLOOKUP($C59,授業リスト!$A:$Z,COLUMN(),FALSE),"")</f>
        <v/>
      </c>
      <c r="S59" t="str">
        <f>IF($C59&lt;&gt;"",VLOOKUP($C59,授業リスト!$A:$Z,COLUMN(),FALSE),"")</f>
        <v/>
      </c>
      <c r="T59" t="str">
        <f>IF($C59&lt;&gt;"",VLOOKUP($C59,授業リスト!$A:$Z,COLUMN(),FALSE),"")</f>
        <v/>
      </c>
      <c r="U59" t="str">
        <f>IF($C59&lt;&gt;"",VLOOKUP($C59,授業リスト!$A:$Z,COLUMN(),FALSE),"")</f>
        <v/>
      </c>
      <c r="V59" t="str">
        <f>IF($C59&lt;&gt;"",VLOOKUP($C59,授業リスト!$A:$Z,COLUMN(),FALSE),"")</f>
        <v/>
      </c>
      <c r="W59">
        <f>IF($C59&lt;&gt;"",VLOOKUP($C59,授業リスト!$A:$Z,COLUMN(),FALSE),"")</f>
        <v>0</v>
      </c>
      <c r="X59">
        <f>IF($C59&lt;&gt;"",VLOOKUP($C59,授業リスト!$A:$Z,COLUMN(),FALSE),"")</f>
        <v>0</v>
      </c>
      <c r="Y59">
        <f>IF($C59&lt;&gt;"",VLOOKUP($C59,授業リスト!$A:$Z,COLUMN(),FALSE),"")</f>
        <v>0</v>
      </c>
      <c r="Z59">
        <f>IF($C59&lt;&gt;"",VLOOKUP($C59,授業リスト!$A:$Z,COLUMN(),FALSE),"")</f>
        <v>0</v>
      </c>
    </row>
    <row r="60" spans="1:26" ht="17">
      <c r="A60" s="37">
        <v>3</v>
      </c>
      <c r="B60" s="37" t="s">
        <v>69</v>
      </c>
      <c r="C60" s="85">
        <v>37256</v>
      </c>
      <c r="D60" s="37" t="str">
        <f>IF($C60&lt;&gt;"",VLOOKUP($C60,授業リスト!$A:$J,2,FALSE),"")</f>
        <v>Ethics Theory and Instructional Methods</v>
      </c>
      <c r="E60" s="37">
        <f>IF($C60&lt;&gt;"",VLOOKUP($C60,授業リスト!$A:$J,3,FALSE),"")</f>
        <v>0</v>
      </c>
      <c r="F60" s="37" t="str">
        <f>IF($C60&lt;&gt;"",VLOOKUP($C60,授業リスト!$A:$J,8,FALSE),"")</f>
        <v>Sir Ernest Shackleton</v>
      </c>
      <c r="G60" s="37">
        <f>IF($C60&lt;&gt;"",VLOOKUP($C60,授業リスト!$A:$J,4,FALSE),"")</f>
        <v>2</v>
      </c>
      <c r="H60" s="37" t="str">
        <f>IF($C60&lt;&gt;"",VLOOKUP($C60,授業リスト!$A:$J,5,FALSE),"")</f>
        <v>前</v>
      </c>
      <c r="I60" s="37" t="str">
        <f>IF($C60&lt;&gt;"",VLOOKUP($C60,授業リスト!$A:$J,6,FALSE),"")</f>
        <v>水</v>
      </c>
      <c r="J60" s="37">
        <f>IF($C60&lt;&gt;"",VLOOKUP($C60,授業リスト!$A:$J,7,FALSE),"")</f>
        <v>2</v>
      </c>
      <c r="K60" s="38">
        <f>IF($C60&lt;&gt;"",VLOOKUP($C60,授業リスト!$A:$J,9,FALSE),"")</f>
        <v>3</v>
      </c>
      <c r="N60" t="str">
        <f>IF($C60&lt;&gt;"",VLOOKUP($C60,授業リスト!$A:$Z,COLUMN(),FALSE),"")</f>
        <v/>
      </c>
      <c r="O60" t="str">
        <f>IF($C60&lt;&gt;"",VLOOKUP($C60,授業リスト!$A:$Z,COLUMN(),FALSE),"")</f>
        <v/>
      </c>
      <c r="P60" t="str">
        <f>IF($C60&lt;&gt;"",VLOOKUP($C60,授業リスト!$A:$Z,COLUMN(),FALSE),"")</f>
        <v/>
      </c>
      <c r="Q60" t="str">
        <f>IF($C60&lt;&gt;"",VLOOKUP($C60,授業リスト!$A:$Z,COLUMN(),FALSE),"")</f>
        <v>Y</v>
      </c>
      <c r="R60" t="str">
        <f>IF($C60&lt;&gt;"",VLOOKUP($C60,授業リスト!$A:$Z,COLUMN(),FALSE),"")</f>
        <v/>
      </c>
      <c r="S60" t="str">
        <f>IF($C60&lt;&gt;"",VLOOKUP($C60,授業リスト!$A:$Z,COLUMN(),FALSE),"")</f>
        <v/>
      </c>
      <c r="T60" t="str">
        <f>IF($C60&lt;&gt;"",VLOOKUP($C60,授業リスト!$A:$Z,COLUMN(),FALSE),"")</f>
        <v/>
      </c>
      <c r="U60" t="str">
        <f>IF($C60&lt;&gt;"",VLOOKUP($C60,授業リスト!$A:$Z,COLUMN(),FALSE),"")</f>
        <v/>
      </c>
      <c r="V60" t="str">
        <f>IF($C60&lt;&gt;"",VLOOKUP($C60,授業リスト!$A:$Z,COLUMN(),FALSE),"")</f>
        <v/>
      </c>
      <c r="W60">
        <f>IF($C60&lt;&gt;"",VLOOKUP($C60,授業リスト!$A:$Z,COLUMN(),FALSE),"")</f>
        <v>0</v>
      </c>
      <c r="X60">
        <f>IF($C60&lt;&gt;"",VLOOKUP($C60,授業リスト!$A:$Z,COLUMN(),FALSE),"")</f>
        <v>0</v>
      </c>
      <c r="Y60">
        <f>IF($C60&lt;&gt;"",VLOOKUP($C60,授業リスト!$A:$Z,COLUMN(),FALSE),"")</f>
        <v>0</v>
      </c>
      <c r="Z60">
        <f>IF($C60&lt;&gt;"",VLOOKUP($C60,授業リスト!$A:$Z,COLUMN(),FALSE),"")</f>
        <v>0</v>
      </c>
    </row>
    <row r="61" spans="1:26" ht="17">
      <c r="A61" s="37">
        <v>3</v>
      </c>
      <c r="B61" s="37" t="s">
        <v>69</v>
      </c>
      <c r="C61" s="85">
        <v>37259</v>
      </c>
      <c r="D61" s="37" t="str">
        <f>IF($C61&lt;&gt;"",VLOOKUP($C61,授業リスト!$A:$J,2,FALSE),"")</f>
        <v>Theory and Instructional Methods for Special Activities and Integrated Learning Time</v>
      </c>
      <c r="E61" s="37">
        <f>IF($C61&lt;&gt;"",VLOOKUP($C61,授業リスト!$A:$J,3,FALSE),"")</f>
        <v>0</v>
      </c>
      <c r="F61" s="37" t="str">
        <f>IF($C61&lt;&gt;"",VLOOKUP($C61,授業リスト!$A:$J,8,FALSE),"")</f>
        <v>Christopher Columbus</v>
      </c>
      <c r="G61" s="37">
        <f>IF($C61&lt;&gt;"",VLOOKUP($C61,授業リスト!$A:$J,4,FALSE),"")</f>
        <v>2</v>
      </c>
      <c r="H61" s="37" t="str">
        <f>IF($C61&lt;&gt;"",VLOOKUP($C61,授業リスト!$A:$J,5,FALSE),"")</f>
        <v>前</v>
      </c>
      <c r="I61" s="37" t="str">
        <f>IF($C61&lt;&gt;"",VLOOKUP($C61,授業リスト!$A:$J,6,FALSE),"")</f>
        <v>月</v>
      </c>
      <c r="J61" s="37">
        <f>IF($C61&lt;&gt;"",VLOOKUP($C61,授業リスト!$A:$J,7,FALSE),"")</f>
        <v>2</v>
      </c>
      <c r="K61" s="38">
        <f>IF($C61&lt;&gt;"",VLOOKUP($C61,授業リスト!$A:$J,9,FALSE),"")</f>
        <v>3</v>
      </c>
      <c r="N61" t="str">
        <f>IF($C61&lt;&gt;"",VLOOKUP($C61,授業リスト!$A:$Z,COLUMN(),FALSE),"")</f>
        <v/>
      </c>
      <c r="O61" t="str">
        <f>IF($C61&lt;&gt;"",VLOOKUP($C61,授業リスト!$A:$Z,COLUMN(),FALSE),"")</f>
        <v/>
      </c>
      <c r="P61" t="str">
        <f>IF($C61&lt;&gt;"",VLOOKUP($C61,授業リスト!$A:$Z,COLUMN(),FALSE),"")</f>
        <v/>
      </c>
      <c r="Q61" t="str">
        <f>IF($C61&lt;&gt;"",VLOOKUP($C61,授業リスト!$A:$Z,COLUMN(),FALSE),"")</f>
        <v>Y</v>
      </c>
      <c r="R61" t="str">
        <f>IF($C61&lt;&gt;"",VLOOKUP($C61,授業リスト!$A:$Z,COLUMN(),FALSE),"")</f>
        <v/>
      </c>
      <c r="S61" t="str">
        <f>IF($C61&lt;&gt;"",VLOOKUP($C61,授業リスト!$A:$Z,COLUMN(),FALSE),"")</f>
        <v/>
      </c>
      <c r="T61" t="str">
        <f>IF($C61&lt;&gt;"",VLOOKUP($C61,授業リスト!$A:$Z,COLUMN(),FALSE),"")</f>
        <v/>
      </c>
      <c r="U61" t="str">
        <f>IF($C61&lt;&gt;"",VLOOKUP($C61,授業リスト!$A:$Z,COLUMN(),FALSE),"")</f>
        <v/>
      </c>
      <c r="V61" t="str">
        <f>IF($C61&lt;&gt;"",VLOOKUP($C61,授業リスト!$A:$Z,COLUMN(),FALSE),"")</f>
        <v/>
      </c>
      <c r="W61">
        <f>IF($C61&lt;&gt;"",VLOOKUP($C61,授業リスト!$A:$Z,COLUMN(),FALSE),"")</f>
        <v>0</v>
      </c>
      <c r="X61">
        <f>IF($C61&lt;&gt;"",VLOOKUP($C61,授業リスト!$A:$Z,COLUMN(),FALSE),"")</f>
        <v>0</v>
      </c>
      <c r="Y61">
        <f>IF($C61&lt;&gt;"",VLOOKUP($C61,授業リスト!$A:$Z,COLUMN(),FALSE),"")</f>
        <v>0</v>
      </c>
      <c r="Z61">
        <f>IF($C61&lt;&gt;"",VLOOKUP($C61,授業リスト!$A:$Z,COLUMN(),FALSE),"")</f>
        <v>0</v>
      </c>
    </row>
    <row r="62" spans="1:26" ht="17">
      <c r="A62" s="37">
        <v>3</v>
      </c>
      <c r="B62" s="37" t="s">
        <v>69</v>
      </c>
      <c r="C62" s="85">
        <v>37159</v>
      </c>
      <c r="D62" s="37" t="str">
        <f>IF($C62&lt;&gt;"",VLOOKUP($C62,授業リスト!$A:$J,2,FALSE),"")</f>
        <v>Elementary Ed Teaching Methods: Language Skills</v>
      </c>
      <c r="E62" s="37">
        <f>IF($C62&lt;&gt;"",VLOOKUP($C62,授業リスト!$A:$J,3,FALSE),"")</f>
        <v>0</v>
      </c>
      <c r="F62" s="37" t="str">
        <f>IF($C62&lt;&gt;"",VLOOKUP($C62,授業リスト!$A:$J,8,FALSE),"")</f>
        <v>Wolfgang Amadeus Mozart</v>
      </c>
      <c r="G62" s="37">
        <f>IF($C62&lt;&gt;"",VLOOKUP($C62,授業リスト!$A:$J,4,FALSE),"")</f>
        <v>2</v>
      </c>
      <c r="H62" s="37" t="str">
        <f>IF($C62&lt;&gt;"",VLOOKUP($C62,授業リスト!$A:$J,5,FALSE),"")</f>
        <v>前</v>
      </c>
      <c r="I62" s="37" t="str">
        <f>IF($C62&lt;&gt;"",VLOOKUP($C62,授業リスト!$A:$J,6,FALSE),"")</f>
        <v>火</v>
      </c>
      <c r="J62" s="37">
        <f>IF($C62&lt;&gt;"",VLOOKUP($C62,授業リスト!$A:$J,7,FALSE),"")</f>
        <v>3</v>
      </c>
      <c r="K62" s="38">
        <f>IF($C62&lt;&gt;"",VLOOKUP($C62,授業リスト!$A:$J,9,FALSE),"")</f>
        <v>3</v>
      </c>
      <c r="N62" t="str">
        <f>IF($C62&lt;&gt;"",VLOOKUP($C62,授業リスト!$A:$Z,COLUMN(),FALSE),"")</f>
        <v/>
      </c>
      <c r="O62" t="str">
        <f>IF($C62&lt;&gt;"",VLOOKUP($C62,授業リスト!$A:$Z,COLUMN(),FALSE),"")</f>
        <v/>
      </c>
      <c r="P62" t="str">
        <f>IF($C62&lt;&gt;"",VLOOKUP($C62,授業リスト!$A:$Z,COLUMN(),FALSE),"")</f>
        <v/>
      </c>
      <c r="Q62" t="str">
        <f>IF($C62&lt;&gt;"",VLOOKUP($C62,授業リスト!$A:$Z,COLUMN(),FALSE),"")</f>
        <v/>
      </c>
      <c r="R62" t="str">
        <f>IF($C62&lt;&gt;"",VLOOKUP($C62,授業リスト!$A:$Z,COLUMN(),FALSE),"")</f>
        <v/>
      </c>
      <c r="S62" t="str">
        <f>IF($C62&lt;&gt;"",VLOOKUP($C62,授業リスト!$A:$Z,COLUMN(),FALSE),"")</f>
        <v>Y</v>
      </c>
      <c r="T62" t="str">
        <f>IF($C62&lt;&gt;"",VLOOKUP($C62,授業リスト!$A:$Z,COLUMN(),FALSE),"")</f>
        <v>Y</v>
      </c>
      <c r="U62" t="str">
        <f>IF($C62&lt;&gt;"",VLOOKUP($C62,授業リスト!$A:$Z,COLUMN(),FALSE),"")</f>
        <v/>
      </c>
      <c r="V62" t="str">
        <f>IF($C62&lt;&gt;"",VLOOKUP($C62,授業リスト!$A:$Z,COLUMN(),FALSE),"")</f>
        <v/>
      </c>
      <c r="W62">
        <f>IF($C62&lt;&gt;"",VLOOKUP($C62,授業リスト!$A:$Z,COLUMN(),FALSE),"")</f>
        <v>0</v>
      </c>
      <c r="X62">
        <f>IF($C62&lt;&gt;"",VLOOKUP($C62,授業リスト!$A:$Z,COLUMN(),FALSE),"")</f>
        <v>0</v>
      </c>
      <c r="Y62">
        <f>IF($C62&lt;&gt;"",VLOOKUP($C62,授業リスト!$A:$Z,COLUMN(),FALSE),"")</f>
        <v>0</v>
      </c>
      <c r="Z62">
        <f>IF($C62&lt;&gt;"",VLOOKUP($C62,授業リスト!$A:$Z,COLUMN(),FALSE),"")</f>
        <v>0</v>
      </c>
    </row>
    <row r="63" spans="1:26" ht="17">
      <c r="A63" s="37">
        <v>3</v>
      </c>
      <c r="B63" s="37" t="s">
        <v>69</v>
      </c>
      <c r="C63" s="85">
        <v>37165</v>
      </c>
      <c r="D63" s="37" t="str">
        <f>IF($C63&lt;&gt;"",VLOOKUP($C63,授業リスト!$A:$J,2,FALSE),"")</f>
        <v>Elementary Ed Teaching: Math</v>
      </c>
      <c r="E63" s="37">
        <f>IF($C63&lt;&gt;"",VLOOKUP($C63,授業リスト!$A:$J,3,FALSE),"")</f>
        <v>0</v>
      </c>
      <c r="F63" s="37" t="str">
        <f>IF($C63&lt;&gt;"",VLOOKUP($C63,授業リスト!$A:$J,8,FALSE),"")</f>
        <v>Christopher Columbus</v>
      </c>
      <c r="G63" s="37">
        <f>IF($C63&lt;&gt;"",VLOOKUP($C63,授業リスト!$A:$J,4,FALSE),"")</f>
        <v>2</v>
      </c>
      <c r="H63" s="37" t="str">
        <f>IF($C63&lt;&gt;"",VLOOKUP($C63,授業リスト!$A:$J,5,FALSE),"")</f>
        <v>前</v>
      </c>
      <c r="I63" s="37" t="str">
        <f>IF($C63&lt;&gt;"",VLOOKUP($C63,授業リスト!$A:$J,6,FALSE),"")</f>
        <v>月</v>
      </c>
      <c r="J63" s="37">
        <f>IF($C63&lt;&gt;"",VLOOKUP($C63,授業リスト!$A:$J,7,FALSE),"")</f>
        <v>1</v>
      </c>
      <c r="K63" s="38">
        <f>IF($C63&lt;&gt;"",VLOOKUP($C63,授業リスト!$A:$J,9,FALSE),"")</f>
        <v>3</v>
      </c>
      <c r="N63" t="str">
        <f>IF($C63&lt;&gt;"",VLOOKUP($C63,授業リスト!$A:$Z,COLUMN(),FALSE),"")</f>
        <v/>
      </c>
      <c r="O63" t="str">
        <f>IF($C63&lt;&gt;"",VLOOKUP($C63,授業リスト!$A:$Z,COLUMN(),FALSE),"")</f>
        <v/>
      </c>
      <c r="P63" t="str">
        <f>IF($C63&lt;&gt;"",VLOOKUP($C63,授業リスト!$A:$Z,COLUMN(),FALSE),"")</f>
        <v/>
      </c>
      <c r="Q63" t="str">
        <f>IF($C63&lt;&gt;"",VLOOKUP($C63,授業リスト!$A:$Z,COLUMN(),FALSE),"")</f>
        <v/>
      </c>
      <c r="R63" t="str">
        <f>IF($C63&lt;&gt;"",VLOOKUP($C63,授業リスト!$A:$Z,COLUMN(),FALSE),"")</f>
        <v/>
      </c>
      <c r="S63" t="str">
        <f>IF($C63&lt;&gt;"",VLOOKUP($C63,授業リスト!$A:$Z,COLUMN(),FALSE),"")</f>
        <v>Y</v>
      </c>
      <c r="T63" t="str">
        <f>IF($C63&lt;&gt;"",VLOOKUP($C63,授業リスト!$A:$Z,COLUMN(),FALSE),"")</f>
        <v>Y</v>
      </c>
      <c r="U63" t="str">
        <f>IF($C63&lt;&gt;"",VLOOKUP($C63,授業リスト!$A:$Z,COLUMN(),FALSE),"")</f>
        <v/>
      </c>
      <c r="V63" t="str">
        <f>IF($C63&lt;&gt;"",VLOOKUP($C63,授業リスト!$A:$Z,COLUMN(),FALSE),"")</f>
        <v/>
      </c>
      <c r="W63">
        <f>IF($C63&lt;&gt;"",VLOOKUP($C63,授業リスト!$A:$Z,COLUMN(),FALSE),"")</f>
        <v>0</v>
      </c>
      <c r="X63">
        <f>IF($C63&lt;&gt;"",VLOOKUP($C63,授業リスト!$A:$Z,COLUMN(),FALSE),"")</f>
        <v>0</v>
      </c>
      <c r="Y63">
        <f>IF($C63&lt;&gt;"",VLOOKUP($C63,授業リスト!$A:$Z,COLUMN(),FALSE),"")</f>
        <v>0</v>
      </c>
      <c r="Z63">
        <f>IF($C63&lt;&gt;"",VLOOKUP($C63,授業リスト!$A:$Z,COLUMN(),FALSE),"")</f>
        <v>0</v>
      </c>
    </row>
    <row r="64" spans="1:26" ht="17">
      <c r="A64" s="37">
        <v>3</v>
      </c>
      <c r="B64" s="37" t="s">
        <v>69</v>
      </c>
      <c r="C64" s="85">
        <v>37262</v>
      </c>
      <c r="D64" s="37" t="str">
        <f>IF($C64&lt;&gt;"",VLOOKUP($C64,授業リスト!$A:$J,2,FALSE),"")</f>
        <v>Pre and Post-Instruction for Educational Practicum</v>
      </c>
      <c r="E64" s="37">
        <f>IF($C64&lt;&gt;"",VLOOKUP($C64,授業リスト!$A:$J,3,FALSE),"")</f>
        <v>0</v>
      </c>
      <c r="F64" s="37" t="str">
        <f>IF($C64&lt;&gt;"",VLOOKUP($C64,授業リスト!$A:$J,8,FALSE),"")</f>
        <v>Pablo Neruda</v>
      </c>
      <c r="G64" s="37">
        <f>IF($C64&lt;&gt;"",VLOOKUP($C64,授業リスト!$A:$J,4,FALSE),"")</f>
        <v>1</v>
      </c>
      <c r="H64" s="37">
        <f>IF($C64&lt;&gt;"",VLOOKUP($C64,授業リスト!$A:$J,5,FALSE),"")</f>
        <v>0</v>
      </c>
      <c r="I64" s="37" t="str">
        <f>IF($C64&lt;&gt;"",VLOOKUP($C64,授業リスト!$A:$J,6,FALSE),"")</f>
        <v>実習</v>
      </c>
      <c r="J64" s="37">
        <f>IF($C64&lt;&gt;"",VLOOKUP($C64,授業リスト!$A:$J,7,FALSE),"")</f>
        <v>0</v>
      </c>
      <c r="K64" s="38">
        <f>IF($C64&lt;&gt;"",VLOOKUP($C64,授業リスト!$A:$J,9,FALSE),"")</f>
        <v>3</v>
      </c>
      <c r="N64" t="str">
        <f>IF($C64&lt;&gt;"",VLOOKUP($C64,授業リスト!$A:$Z,COLUMN(),FALSE),"")</f>
        <v/>
      </c>
      <c r="O64" t="str">
        <f>IF($C64&lt;&gt;"",VLOOKUP($C64,授業リスト!$A:$Z,COLUMN(),FALSE),"")</f>
        <v/>
      </c>
      <c r="P64" t="str">
        <f>IF($C64&lt;&gt;"",VLOOKUP($C64,授業リスト!$A:$Z,COLUMN(),FALSE),"")</f>
        <v>Y</v>
      </c>
      <c r="Q64" t="str">
        <f>IF($C64&lt;&gt;"",VLOOKUP($C64,授業リスト!$A:$Z,COLUMN(),FALSE),"")</f>
        <v/>
      </c>
      <c r="R64" t="str">
        <f>IF($C64&lt;&gt;"",VLOOKUP($C64,授業リスト!$A:$Z,COLUMN(),FALSE),"")</f>
        <v>Y</v>
      </c>
      <c r="S64" t="str">
        <f>IF($C64&lt;&gt;"",VLOOKUP($C64,授業リスト!$A:$Z,COLUMN(),FALSE),"")</f>
        <v/>
      </c>
      <c r="T64" t="str">
        <f>IF($C64&lt;&gt;"",VLOOKUP($C64,授業リスト!$A:$Z,COLUMN(),FALSE),"")</f>
        <v/>
      </c>
      <c r="U64" t="str">
        <f>IF($C64&lt;&gt;"",VLOOKUP($C64,授業リスト!$A:$Z,COLUMN(),FALSE),"")</f>
        <v/>
      </c>
      <c r="V64" t="str">
        <f>IF($C64&lt;&gt;"",VLOOKUP($C64,授業リスト!$A:$Z,COLUMN(),FALSE),"")</f>
        <v/>
      </c>
      <c r="W64">
        <f>IF($C64&lt;&gt;"",VLOOKUP($C64,授業リスト!$A:$Z,COLUMN(),FALSE),"")</f>
        <v>0</v>
      </c>
      <c r="X64">
        <f>IF($C64&lt;&gt;"",VLOOKUP($C64,授業リスト!$A:$Z,COLUMN(),FALSE),"")</f>
        <v>0</v>
      </c>
      <c r="Y64">
        <f>IF($C64&lt;&gt;"",VLOOKUP($C64,授業リスト!$A:$Z,COLUMN(),FALSE),"")</f>
        <v>0</v>
      </c>
      <c r="Z64">
        <f>IF($C64&lt;&gt;"",VLOOKUP($C64,授業リスト!$A:$Z,COLUMN(),FALSE),"")</f>
        <v>0</v>
      </c>
    </row>
    <row r="65" spans="1:26" ht="17">
      <c r="A65" s="37">
        <v>3</v>
      </c>
      <c r="B65" s="37" t="s">
        <v>69</v>
      </c>
      <c r="C65" s="85">
        <v>37264</v>
      </c>
      <c r="D65" s="37" t="str">
        <f>IF($C65&lt;&gt;"",VLOOKUP($C65,授業リスト!$A:$J,2,FALSE),"")</f>
        <v>Educational Practicum (Secondary) I</v>
      </c>
      <c r="E65" s="37">
        <f>IF($C65&lt;&gt;"",VLOOKUP($C65,授業リスト!$A:$J,3,FALSE),"")</f>
        <v>0</v>
      </c>
      <c r="F65" s="37" t="str">
        <f>IF($C65&lt;&gt;"",VLOOKUP($C65,授業リスト!$A:$J,8,FALSE),"")</f>
        <v>Martin Luther King Sr.</v>
      </c>
      <c r="G65" s="37">
        <f>IF($C65&lt;&gt;"",VLOOKUP($C65,授業リスト!$A:$J,4,FALSE),"")</f>
        <v>4</v>
      </c>
      <c r="H65" s="37">
        <f>IF($C65&lt;&gt;"",VLOOKUP($C65,授業リスト!$A:$J,5,FALSE),"")</f>
        <v>0</v>
      </c>
      <c r="I65" s="37" t="str">
        <f>IF($C65&lt;&gt;"",VLOOKUP($C65,授業リスト!$A:$J,6,FALSE),"")</f>
        <v>実習</v>
      </c>
      <c r="J65" s="37">
        <f>IF($C65&lt;&gt;"",VLOOKUP($C65,授業リスト!$A:$J,7,FALSE),"")</f>
        <v>0</v>
      </c>
      <c r="K65" s="38">
        <f>IF($C65&lt;&gt;"",VLOOKUP($C65,授業リスト!$A:$J,9,FALSE),"")</f>
        <v>3</v>
      </c>
      <c r="N65" t="str">
        <f>IF($C65&lt;&gt;"",VLOOKUP($C65,授業リスト!$A:$Z,COLUMN(),FALSE),"")</f>
        <v/>
      </c>
      <c r="O65" t="str">
        <f>IF($C65&lt;&gt;"",VLOOKUP($C65,授業リスト!$A:$Z,COLUMN(),FALSE),"")</f>
        <v/>
      </c>
      <c r="P65" t="str">
        <f>IF($C65&lt;&gt;"",VLOOKUP($C65,授業リスト!$A:$Z,COLUMN(),FALSE),"")</f>
        <v>Y</v>
      </c>
      <c r="Q65" t="str">
        <f>IF($C65&lt;&gt;"",VLOOKUP($C65,授業リスト!$A:$Z,COLUMN(),FALSE),"")</f>
        <v/>
      </c>
      <c r="R65" t="str">
        <f>IF($C65&lt;&gt;"",VLOOKUP($C65,授業リスト!$A:$Z,COLUMN(),FALSE),"")</f>
        <v>Y</v>
      </c>
      <c r="S65" t="str">
        <f>IF($C65&lt;&gt;"",VLOOKUP($C65,授業リスト!$A:$Z,COLUMN(),FALSE),"")</f>
        <v/>
      </c>
      <c r="T65" t="str">
        <f>IF($C65&lt;&gt;"",VLOOKUP($C65,授業リスト!$A:$Z,COLUMN(),FALSE),"")</f>
        <v/>
      </c>
      <c r="U65" t="str">
        <f>IF($C65&lt;&gt;"",VLOOKUP($C65,授業リスト!$A:$Z,COLUMN(),FALSE),"")</f>
        <v/>
      </c>
      <c r="V65" t="str">
        <f>IF($C65&lt;&gt;"",VLOOKUP($C65,授業リスト!$A:$Z,COLUMN(),FALSE),"")</f>
        <v/>
      </c>
      <c r="W65">
        <f>IF($C65&lt;&gt;"",VLOOKUP($C65,授業リスト!$A:$Z,COLUMN(),FALSE),"")</f>
        <v>0</v>
      </c>
      <c r="X65">
        <f>IF($C65&lt;&gt;"",VLOOKUP($C65,授業リスト!$A:$Z,COLUMN(),FALSE),"")</f>
        <v>0</v>
      </c>
      <c r="Y65">
        <f>IF($C65&lt;&gt;"",VLOOKUP($C65,授業リスト!$A:$Z,COLUMN(),FALSE),"")</f>
        <v>0</v>
      </c>
      <c r="Z65">
        <f>IF($C65&lt;&gt;"",VLOOKUP($C65,授業リスト!$A:$Z,COLUMN(),FALSE),"")</f>
        <v>0</v>
      </c>
    </row>
    <row r="66" spans="1:26" ht="17">
      <c r="A66" s="37">
        <v>3</v>
      </c>
      <c r="B66" s="37" t="s">
        <v>69</v>
      </c>
      <c r="C66" s="85">
        <v>37488</v>
      </c>
      <c r="D66" s="37" t="str">
        <f>IF($C66&lt;&gt;"",VLOOKUP($C66,授業リスト!$A:$J,2,FALSE),"")</f>
        <v>English Presentation</v>
      </c>
      <c r="E66" s="37">
        <f>IF($C66&lt;&gt;"",VLOOKUP($C66,授業リスト!$A:$J,3,FALSE),"")</f>
        <v>0</v>
      </c>
      <c r="F66" s="37" t="str">
        <f>IF($C66&lt;&gt;"",VLOOKUP($C66,授業リスト!$A:$J,8,FALSE),"")</f>
        <v>William Shakespeare</v>
      </c>
      <c r="G66" s="37">
        <f>IF($C66&lt;&gt;"",VLOOKUP($C66,授業リスト!$A:$J,4,FALSE),"")</f>
        <v>2</v>
      </c>
      <c r="H66" s="37" t="str">
        <f>IF($C66&lt;&gt;"",VLOOKUP($C66,授業リスト!$A:$J,5,FALSE),"")</f>
        <v>前</v>
      </c>
      <c r="I66" s="37" t="str">
        <f>IF($C66&lt;&gt;"",VLOOKUP($C66,授業リスト!$A:$J,6,FALSE),"")</f>
        <v>月</v>
      </c>
      <c r="J66" s="37">
        <f>IF($C66&lt;&gt;"",VLOOKUP($C66,授業リスト!$A:$J,7,FALSE),"")</f>
        <v>5</v>
      </c>
      <c r="K66" s="38" t="str">
        <f>IF($C66&lt;&gt;"",VLOOKUP($C66,授業リスト!$A:$J,9,FALSE),"")</f>
        <v>1～4</v>
      </c>
      <c r="N66" t="str">
        <f>IF($C66&lt;&gt;"",VLOOKUP($C66,授業リスト!$A:$Z,COLUMN(),FALSE),"")</f>
        <v/>
      </c>
      <c r="O66" t="str">
        <f>IF($C66&lt;&gt;"",VLOOKUP($C66,授業リスト!$A:$Z,COLUMN(),FALSE),"")</f>
        <v>Y</v>
      </c>
      <c r="P66" t="str">
        <f>IF($C66&lt;&gt;"",VLOOKUP($C66,授業リスト!$A:$Z,COLUMN(),FALSE),"")</f>
        <v/>
      </c>
      <c r="Q66" t="str">
        <f>IF($C66&lt;&gt;"",VLOOKUP($C66,授業リスト!$A:$Z,COLUMN(),FALSE),"")</f>
        <v/>
      </c>
      <c r="R66" t="str">
        <f>IF($C66&lt;&gt;"",VLOOKUP($C66,授業リスト!$A:$Z,COLUMN(),FALSE),"")</f>
        <v/>
      </c>
      <c r="S66" t="str">
        <f>IF($C66&lt;&gt;"",VLOOKUP($C66,授業リスト!$A:$Z,COLUMN(),FALSE),"")</f>
        <v/>
      </c>
      <c r="T66" t="str">
        <f>IF($C66&lt;&gt;"",VLOOKUP($C66,授業リスト!$A:$Z,COLUMN(),FALSE),"")</f>
        <v/>
      </c>
      <c r="U66" t="str">
        <f>IF($C66&lt;&gt;"",VLOOKUP($C66,授業リスト!$A:$Z,COLUMN(),FALSE),"")</f>
        <v/>
      </c>
      <c r="V66" t="str">
        <f>IF($C66&lt;&gt;"",VLOOKUP($C66,授業リスト!$A:$Z,COLUMN(),FALSE),"")</f>
        <v/>
      </c>
      <c r="W66">
        <f>IF($C66&lt;&gt;"",VLOOKUP($C66,授業リスト!$A:$Z,COLUMN(),FALSE),"")</f>
        <v>0</v>
      </c>
      <c r="X66">
        <f>IF($C66&lt;&gt;"",VLOOKUP($C66,授業リスト!$A:$Z,COLUMN(),FALSE),"")</f>
        <v>0</v>
      </c>
      <c r="Y66">
        <f>IF($C66&lt;&gt;"",VLOOKUP($C66,授業リスト!$A:$Z,COLUMN(),FALSE),"")</f>
        <v>0</v>
      </c>
      <c r="Z66">
        <f>IF($C66&lt;&gt;"",VLOOKUP($C66,授業リスト!$A:$Z,COLUMN(),FALSE),"")</f>
        <v>0</v>
      </c>
    </row>
    <row r="67" spans="1:26" ht="17">
      <c r="A67">
        <v>3</v>
      </c>
      <c r="B67" t="s">
        <v>47</v>
      </c>
      <c r="C67" s="87">
        <v>37231</v>
      </c>
      <c r="D67" t="str">
        <f>IF($C67&lt;&gt;"",VLOOKUP($C67,授業リスト!$A:$J,2,FALSE),"")</f>
        <v>Teaching Methods for Secondary English III</v>
      </c>
      <c r="E67">
        <f>IF($C67&lt;&gt;"",VLOOKUP($C67,授業リスト!$A:$J,3,FALSE),"")</f>
        <v>0</v>
      </c>
      <c r="F67" t="str">
        <f>IF($C67&lt;&gt;"",VLOOKUP($C67,授業リスト!$A:$J,8,FALSE),"")</f>
        <v>Antoine de Saint-Exupéry</v>
      </c>
      <c r="G67">
        <f>IF($C67&lt;&gt;"",VLOOKUP($C67,授業リスト!$A:$J,4,FALSE),"")</f>
        <v>2</v>
      </c>
      <c r="H67" t="str">
        <f>IF($C67&lt;&gt;"",VLOOKUP($C67,授業リスト!$A:$J,5,FALSE),"")</f>
        <v>後</v>
      </c>
      <c r="I67" t="str">
        <f>IF($C67&lt;&gt;"",VLOOKUP($C67,授業リスト!$A:$J,6,FALSE),"")</f>
        <v>金</v>
      </c>
      <c r="J67">
        <f>IF($C67&lt;&gt;"",VLOOKUP($C67,授業リスト!$A:$J,7,FALSE),"")</f>
        <v>3</v>
      </c>
      <c r="K67" s="30">
        <f>IF($C67&lt;&gt;"",VLOOKUP($C67,授業リスト!$A:$J,9,FALSE),"")</f>
        <v>3</v>
      </c>
      <c r="N67" t="str">
        <f>IF($C67&lt;&gt;"",VLOOKUP($C67,授業リスト!$A:$Z,COLUMN(),FALSE),"")</f>
        <v/>
      </c>
      <c r="O67" t="str">
        <f>IF($C67&lt;&gt;"",VLOOKUP($C67,授業リスト!$A:$Z,COLUMN(),FALSE),"")</f>
        <v>Y</v>
      </c>
      <c r="P67" t="str">
        <f>IF($C67&lt;&gt;"",VLOOKUP($C67,授業リスト!$A:$Z,COLUMN(),FALSE),"")</f>
        <v/>
      </c>
      <c r="Q67" t="str">
        <f>IF($C67&lt;&gt;"",VLOOKUP($C67,授業リスト!$A:$Z,COLUMN(),FALSE),"")</f>
        <v/>
      </c>
      <c r="R67" t="str">
        <f>IF($C67&lt;&gt;"",VLOOKUP($C67,授業リスト!$A:$Z,COLUMN(),FALSE),"")</f>
        <v/>
      </c>
      <c r="S67" t="str">
        <f>IF($C67&lt;&gt;"",VLOOKUP($C67,授業リスト!$A:$Z,COLUMN(),FALSE),"")</f>
        <v/>
      </c>
      <c r="T67" t="str">
        <f>IF($C67&lt;&gt;"",VLOOKUP($C67,授業リスト!$A:$Z,COLUMN(),FALSE),"")</f>
        <v/>
      </c>
      <c r="U67" t="str">
        <f>IF($C67&lt;&gt;"",VLOOKUP($C67,授業リスト!$A:$Z,COLUMN(),FALSE),"")</f>
        <v/>
      </c>
      <c r="V67" t="str">
        <f>IF($C67&lt;&gt;"",VLOOKUP($C67,授業リスト!$A:$Z,COLUMN(),FALSE),"")</f>
        <v/>
      </c>
      <c r="W67">
        <f>IF($C67&lt;&gt;"",VLOOKUP($C67,授業リスト!$A:$Z,COLUMN(),FALSE),"")</f>
        <v>0</v>
      </c>
      <c r="X67">
        <f>IF($C67&lt;&gt;"",VLOOKUP($C67,授業リスト!$A:$Z,COLUMN(),FALSE),"")</f>
        <v>0</v>
      </c>
      <c r="Y67">
        <f>IF($C67&lt;&gt;"",VLOOKUP($C67,授業リスト!$A:$Z,COLUMN(),FALSE),"")</f>
        <v>0</v>
      </c>
      <c r="Z67">
        <f>IF($C67&lt;&gt;"",VLOOKUP($C67,授業リスト!$A:$Z,COLUMN(),FALSE),"")</f>
        <v>0</v>
      </c>
    </row>
    <row r="68" spans="1:26" ht="17">
      <c r="A68">
        <v>3</v>
      </c>
      <c r="B68" t="s">
        <v>47</v>
      </c>
      <c r="C68" s="87">
        <v>37314</v>
      </c>
      <c r="D68" t="str">
        <f>IF($C68&lt;&gt;"",VLOOKUP($C68,授業リスト!$A:$J,2,FALSE),"")</f>
        <v>School Clinical Research</v>
      </c>
      <c r="E68">
        <f>IF($C68&lt;&gt;"",VLOOKUP($C68,授業リスト!$A:$J,3,FALSE),"")</f>
        <v>0</v>
      </c>
      <c r="F68" t="str">
        <f>IF($C68&lt;&gt;"",VLOOKUP($C68,授業リスト!$A:$J,8,FALSE),"")</f>
        <v>Robert E. Lee</v>
      </c>
      <c r="G68">
        <f>IF($C68&lt;&gt;"",VLOOKUP($C68,授業リスト!$A:$J,4,FALSE),"")</f>
        <v>2</v>
      </c>
      <c r="H68" t="str">
        <f>IF($C68&lt;&gt;"",VLOOKUP($C68,授業リスト!$A:$J,5,FALSE),"")</f>
        <v>後</v>
      </c>
      <c r="I68" t="str">
        <f>IF($C68&lt;&gt;"",VLOOKUP($C68,授業リスト!$A:$J,6,FALSE),"")</f>
        <v>未定</v>
      </c>
      <c r="J68" t="str">
        <f>IF($C68&lt;&gt;"",VLOOKUP($C68,授業リスト!$A:$J,7,FALSE),"")</f>
        <v>未定</v>
      </c>
      <c r="K68" s="30">
        <f>IF($C68&lt;&gt;"",VLOOKUP($C68,授業リスト!$A:$J,9,FALSE),"")</f>
        <v>3</v>
      </c>
      <c r="N68" t="str">
        <f>IF($C68&lt;&gt;"",VLOOKUP($C68,授業リスト!$A:$Z,COLUMN(),FALSE),"")</f>
        <v/>
      </c>
      <c r="O68" t="str">
        <f>IF($C68&lt;&gt;"",VLOOKUP($C68,授業リスト!$A:$Z,COLUMN(),FALSE),"")</f>
        <v/>
      </c>
      <c r="P68" t="str">
        <f>IF($C68&lt;&gt;"",VLOOKUP($C68,授業リスト!$A:$Z,COLUMN(),FALSE),"")</f>
        <v/>
      </c>
      <c r="Q68" t="str">
        <f>IF($C68&lt;&gt;"",VLOOKUP($C68,授業リスト!$A:$Z,COLUMN(),FALSE),"")</f>
        <v/>
      </c>
      <c r="R68" t="str">
        <f>IF($C68&lt;&gt;"",VLOOKUP($C68,授業リスト!$A:$Z,COLUMN(),FALSE),"")</f>
        <v>Y</v>
      </c>
      <c r="S68" t="str">
        <f>IF($C68&lt;&gt;"",VLOOKUP($C68,授業リスト!$A:$Z,COLUMN(),FALSE),"")</f>
        <v/>
      </c>
      <c r="T68" t="str">
        <f>IF($C68&lt;&gt;"",VLOOKUP($C68,授業リスト!$A:$Z,COLUMN(),FALSE),"")</f>
        <v/>
      </c>
      <c r="U68" t="str">
        <f>IF($C68&lt;&gt;"",VLOOKUP($C68,授業リスト!$A:$Z,COLUMN(),FALSE),"")</f>
        <v/>
      </c>
      <c r="V68" t="str">
        <f>IF($C68&lt;&gt;"",VLOOKUP($C68,授業リスト!$A:$Z,COLUMN(),FALSE),"")</f>
        <v/>
      </c>
      <c r="W68">
        <f>IF($C68&lt;&gt;"",VLOOKUP($C68,授業リスト!$A:$Z,COLUMN(),FALSE),"")</f>
        <v>0</v>
      </c>
      <c r="X68">
        <f>IF($C68&lt;&gt;"",VLOOKUP($C68,授業リスト!$A:$Z,COLUMN(),FALSE),"")</f>
        <v>0</v>
      </c>
      <c r="Y68">
        <f>IF($C68&lt;&gt;"",VLOOKUP($C68,授業リスト!$A:$Z,COLUMN(),FALSE),"")</f>
        <v>0</v>
      </c>
      <c r="Z68">
        <f>IF($C68&lt;&gt;"",VLOOKUP($C68,授業リスト!$A:$Z,COLUMN(),FALSE),"")</f>
        <v>0</v>
      </c>
    </row>
    <row r="69" spans="1:26" ht="17">
      <c r="A69">
        <v>3</v>
      </c>
      <c r="B69" t="s">
        <v>47</v>
      </c>
      <c r="C69" s="87">
        <v>37489</v>
      </c>
      <c r="D69" t="str">
        <f>IF($C69&lt;&gt;"",VLOOKUP($C69,授業リスト!$A:$J,2,FALSE),"")</f>
        <v>English Through Media</v>
      </c>
      <c r="E69">
        <f>IF($C69&lt;&gt;"",VLOOKUP($C69,授業リスト!$A:$J,3,FALSE),"")</f>
        <v>0</v>
      </c>
      <c r="F69" t="str">
        <f>IF($C69&lt;&gt;"",VLOOKUP($C69,授業リスト!$A:$J,8,FALSE),"")</f>
        <v>Charles Darwin</v>
      </c>
      <c r="G69">
        <f>IF($C69&lt;&gt;"",VLOOKUP($C69,授業リスト!$A:$J,4,FALSE),"")</f>
        <v>2</v>
      </c>
      <c r="H69" t="str">
        <f>IF($C69&lt;&gt;"",VLOOKUP($C69,授業リスト!$A:$J,5,FALSE),"")</f>
        <v>後</v>
      </c>
      <c r="I69" t="str">
        <f>IF($C69&lt;&gt;"",VLOOKUP($C69,授業リスト!$A:$J,6,FALSE),"")</f>
        <v>水</v>
      </c>
      <c r="J69">
        <f>IF($C69&lt;&gt;"",VLOOKUP($C69,授業リスト!$A:$J,7,FALSE),"")</f>
        <v>3</v>
      </c>
      <c r="K69" s="30" t="str">
        <f>IF($C69&lt;&gt;"",VLOOKUP($C69,授業リスト!$A:$J,9,FALSE),"")</f>
        <v>1～4</v>
      </c>
      <c r="N69" t="str">
        <f>IF($C69&lt;&gt;"",VLOOKUP($C69,授業リスト!$A:$Z,COLUMN(),FALSE),"")</f>
        <v/>
      </c>
      <c r="O69" t="str">
        <f>IF($C69&lt;&gt;"",VLOOKUP($C69,授業リスト!$A:$Z,COLUMN(),FALSE),"")</f>
        <v>Y</v>
      </c>
      <c r="P69" t="str">
        <f>IF($C69&lt;&gt;"",VLOOKUP($C69,授業リスト!$A:$Z,COLUMN(),FALSE),"")</f>
        <v/>
      </c>
      <c r="Q69" t="str">
        <f>IF($C69&lt;&gt;"",VLOOKUP($C69,授業リスト!$A:$Z,COLUMN(),FALSE),"")</f>
        <v/>
      </c>
      <c r="R69" t="str">
        <f>IF($C69&lt;&gt;"",VLOOKUP($C69,授業リスト!$A:$Z,COLUMN(),FALSE),"")</f>
        <v/>
      </c>
      <c r="S69" t="str">
        <f>IF($C69&lt;&gt;"",VLOOKUP($C69,授業リスト!$A:$Z,COLUMN(),FALSE),"")</f>
        <v/>
      </c>
      <c r="T69" t="str">
        <f>IF($C69&lt;&gt;"",VLOOKUP($C69,授業リスト!$A:$Z,COLUMN(),FALSE),"")</f>
        <v/>
      </c>
      <c r="U69" t="str">
        <f>IF($C69&lt;&gt;"",VLOOKUP($C69,授業リスト!$A:$Z,COLUMN(),FALSE),"")</f>
        <v/>
      </c>
      <c r="V69" t="str">
        <f>IF($C69&lt;&gt;"",VLOOKUP($C69,授業リスト!$A:$Z,COLUMN(),FALSE),"")</f>
        <v/>
      </c>
      <c r="W69">
        <f>IF($C69&lt;&gt;"",VLOOKUP($C69,授業リスト!$A:$Z,COLUMN(),FALSE),"")</f>
        <v>0</v>
      </c>
      <c r="X69">
        <f>IF($C69&lt;&gt;"",VLOOKUP($C69,授業リスト!$A:$Z,COLUMN(),FALSE),"")</f>
        <v>0</v>
      </c>
      <c r="Y69">
        <f>IF($C69&lt;&gt;"",VLOOKUP($C69,授業リスト!$A:$Z,COLUMN(),FALSE),"")</f>
        <v>0</v>
      </c>
      <c r="Z69">
        <f>IF($C69&lt;&gt;"",VLOOKUP($C69,授業リスト!$A:$Z,COLUMN(),FALSE),"")</f>
        <v>0</v>
      </c>
    </row>
    <row r="70" spans="1:26" ht="17">
      <c r="A70">
        <v>3</v>
      </c>
      <c r="B70" t="s">
        <v>47</v>
      </c>
      <c r="C70" s="87">
        <v>37477</v>
      </c>
      <c r="D70" t="str">
        <f>IF($C70&lt;&gt;"",VLOOKUP($C70,授業リスト!$A:$J,2,FALSE),"")</f>
        <v>English Education Exercises II</v>
      </c>
      <c r="E70" t="str">
        <f>IF($C70&lt;&gt;"",VLOOKUP($C70,授業リスト!$A:$J,3,FALSE),"")</f>
        <v/>
      </c>
      <c r="F70" t="str">
        <f>IF($C70&lt;&gt;"",VLOOKUP($C70,授業リスト!$A:$J,8,FALSE),"")</f>
        <v>Jane Austen</v>
      </c>
      <c r="G70">
        <f>IF($C70&lt;&gt;"",VLOOKUP($C70,授業リスト!$A:$J,4,FALSE),"")</f>
        <v>2</v>
      </c>
      <c r="H70" t="str">
        <f>IF($C70&lt;&gt;"",VLOOKUP($C70,授業リスト!$A:$J,5,FALSE),"")</f>
        <v>後</v>
      </c>
      <c r="I70" t="str">
        <f>IF($C70&lt;&gt;"",VLOOKUP($C70,授業リスト!$A:$J,6,FALSE),"")</f>
        <v>水</v>
      </c>
      <c r="J70">
        <f>IF($C70&lt;&gt;"",VLOOKUP($C70,授業リスト!$A:$J,7,FALSE),"")</f>
        <v>4</v>
      </c>
      <c r="K70" s="30" t="str">
        <f>IF($C70&lt;&gt;"",VLOOKUP($C70,授業リスト!$A:$J,9,FALSE),"")</f>
        <v>2～4</v>
      </c>
      <c r="N70" t="str">
        <f>IF($C70&lt;&gt;"",VLOOKUP($C70,授業リスト!$A:$Z,COLUMN(),FALSE),"")</f>
        <v/>
      </c>
      <c r="O70" t="str">
        <f>IF($C70&lt;&gt;"",VLOOKUP($C70,授業リスト!$A:$Z,COLUMN(),FALSE),"")</f>
        <v>Y</v>
      </c>
      <c r="P70" t="str">
        <f>IF($C70&lt;&gt;"",VLOOKUP($C70,授業リスト!$A:$Z,COLUMN(),FALSE),"")</f>
        <v/>
      </c>
      <c r="Q70" t="str">
        <f>IF($C70&lt;&gt;"",VLOOKUP($C70,授業リスト!$A:$Z,COLUMN(),FALSE),"")</f>
        <v/>
      </c>
      <c r="R70" t="str">
        <f>IF($C70&lt;&gt;"",VLOOKUP($C70,授業リスト!$A:$Z,COLUMN(),FALSE),"")</f>
        <v/>
      </c>
      <c r="S70" t="str">
        <f>IF($C70&lt;&gt;"",VLOOKUP($C70,授業リスト!$A:$Z,COLUMN(),FALSE),"")</f>
        <v/>
      </c>
      <c r="T70" t="str">
        <f>IF($C70&lt;&gt;"",VLOOKUP($C70,授業リスト!$A:$Z,COLUMN(),FALSE),"")</f>
        <v/>
      </c>
      <c r="U70" t="str">
        <f>IF($C70&lt;&gt;"",VLOOKUP($C70,授業リスト!$A:$Z,COLUMN(),FALSE),"")</f>
        <v/>
      </c>
      <c r="V70" t="str">
        <f>IF($C70&lt;&gt;"",VLOOKUP($C70,授業リスト!$A:$Z,COLUMN(),FALSE),"")</f>
        <v/>
      </c>
      <c r="W70">
        <f>IF($C70&lt;&gt;"",VLOOKUP($C70,授業リスト!$A:$Z,COLUMN(),FALSE),"")</f>
        <v>0</v>
      </c>
      <c r="X70">
        <f>IF($C70&lt;&gt;"",VLOOKUP($C70,授業リスト!$A:$Z,COLUMN(),FALSE),"")</f>
        <v>0</v>
      </c>
      <c r="Y70">
        <f>IF($C70&lt;&gt;"",VLOOKUP($C70,授業リスト!$A:$Z,COLUMN(),FALSE),"")</f>
        <v>0</v>
      </c>
      <c r="Z70">
        <f>IF($C70&lt;&gt;"",VLOOKUP($C70,授業リスト!$A:$Z,COLUMN(),FALSE),"")</f>
        <v>0</v>
      </c>
    </row>
    <row r="71" spans="1:26" ht="17">
      <c r="A71">
        <v>3</v>
      </c>
      <c r="B71" t="s">
        <v>47</v>
      </c>
      <c r="C71" s="87">
        <v>37474</v>
      </c>
      <c r="D71" t="str">
        <f>IF($C71&lt;&gt;"",VLOOKUP($C71,授業リスト!$A:$J,2,FALSE),"")</f>
        <v>Special Lectures in English Literature II</v>
      </c>
      <c r="E71" t="str">
        <f>IF($C71&lt;&gt;"",VLOOKUP($C71,授業リスト!$A:$J,3,FALSE),"")</f>
        <v/>
      </c>
      <c r="F71" t="str">
        <f>IF($C71&lt;&gt;"",VLOOKUP($C71,授業リスト!$A:$J,8,FALSE),"")</f>
        <v>Marie Curie</v>
      </c>
      <c r="G71">
        <f>IF($C71&lt;&gt;"",VLOOKUP($C71,授業リスト!$A:$J,4,FALSE),"")</f>
        <v>2</v>
      </c>
      <c r="H71" t="str">
        <f>IF($C71&lt;&gt;"",VLOOKUP($C71,授業リスト!$A:$J,5,FALSE),"")</f>
        <v>前</v>
      </c>
      <c r="I71" t="str">
        <f>IF($C71&lt;&gt;"",VLOOKUP($C71,授業リスト!$A:$J,6,FALSE),"")</f>
        <v>集中</v>
      </c>
      <c r="J71">
        <f>IF($C71&lt;&gt;"",VLOOKUP($C71,授業リスト!$A:$J,7,FALSE),"")</f>
        <v>0</v>
      </c>
      <c r="K71" s="30" t="str">
        <f>IF($C71&lt;&gt;"",VLOOKUP($C71,授業リスト!$A:$J,9,FALSE),"")</f>
        <v>2～4</v>
      </c>
      <c r="N71" t="str">
        <f>IF($C71&lt;&gt;"",VLOOKUP($C71,授業リスト!$A:$Z,COLUMN(),FALSE),"")</f>
        <v/>
      </c>
      <c r="O71" t="str">
        <f>IF($C71&lt;&gt;"",VLOOKUP($C71,授業リスト!$A:$Z,COLUMN(),FALSE),"")</f>
        <v>Y</v>
      </c>
      <c r="P71" t="str">
        <f>IF($C71&lt;&gt;"",VLOOKUP($C71,授業リスト!$A:$Z,COLUMN(),FALSE),"")</f>
        <v/>
      </c>
      <c r="Q71" t="str">
        <f>IF($C71&lt;&gt;"",VLOOKUP($C71,授業リスト!$A:$Z,COLUMN(),FALSE),"")</f>
        <v/>
      </c>
      <c r="R71" t="str">
        <f>IF($C71&lt;&gt;"",VLOOKUP($C71,授業リスト!$A:$Z,COLUMN(),FALSE),"")</f>
        <v/>
      </c>
      <c r="S71" t="str">
        <f>IF($C71&lt;&gt;"",VLOOKUP($C71,授業リスト!$A:$Z,COLUMN(),FALSE),"")</f>
        <v/>
      </c>
      <c r="T71" t="str">
        <f>IF($C71&lt;&gt;"",VLOOKUP($C71,授業リスト!$A:$Z,COLUMN(),FALSE),"")</f>
        <v/>
      </c>
      <c r="U71" t="str">
        <f>IF($C71&lt;&gt;"",VLOOKUP($C71,授業リスト!$A:$Z,COLUMN(),FALSE),"")</f>
        <v/>
      </c>
      <c r="V71" t="str">
        <f>IF($C71&lt;&gt;"",VLOOKUP($C71,授業リスト!$A:$Z,COLUMN(),FALSE),"")</f>
        <v/>
      </c>
      <c r="W71">
        <f>IF($C71&lt;&gt;"",VLOOKUP($C71,授業リスト!$A:$Z,COLUMN(),FALSE),"")</f>
        <v>0</v>
      </c>
      <c r="X71">
        <f>IF($C71&lt;&gt;"",VLOOKUP($C71,授業リスト!$A:$Z,COLUMN(),FALSE),"")</f>
        <v>0</v>
      </c>
      <c r="Y71">
        <f>IF($C71&lt;&gt;"",VLOOKUP($C71,授業リスト!$A:$Z,COLUMN(),FALSE),"")</f>
        <v>0</v>
      </c>
      <c r="Z71">
        <f>IF($C71&lt;&gt;"",VLOOKUP($C71,授業リスト!$A:$Z,COLUMN(),FALSE),"")</f>
        <v>0</v>
      </c>
    </row>
    <row r="72" spans="1:26" ht="17">
      <c r="A72">
        <v>3</v>
      </c>
      <c r="B72" t="s">
        <v>47</v>
      </c>
      <c r="C72" s="87">
        <v>38063</v>
      </c>
      <c r="D72" t="str">
        <f>IF($C72&lt;&gt;"",VLOOKUP($C72,授業リスト!$A:$J,2,FALSE),"")</f>
        <v>Academic Writing II</v>
      </c>
      <c r="E72" t="str">
        <f>IF($C72&lt;&gt;"",VLOOKUP($C72,授業リスト!$A:$J,3,FALSE),"")</f>
        <v/>
      </c>
      <c r="F72" t="str">
        <f>IF($C72&lt;&gt;"",VLOOKUP($C72,授業リスト!$A:$J,8,FALSE),"")</f>
        <v>Johann Wolfgang von Goethe</v>
      </c>
      <c r="G72">
        <f>IF($C72&lt;&gt;"",VLOOKUP($C72,授業リスト!$A:$J,4,FALSE),"")</f>
        <v>2</v>
      </c>
      <c r="H72" t="str">
        <f>IF($C72&lt;&gt;"",VLOOKUP($C72,授業リスト!$A:$J,5,FALSE),"")</f>
        <v>後</v>
      </c>
      <c r="I72" t="str">
        <f>IF($C72&lt;&gt;"",VLOOKUP($C72,授業リスト!$A:$J,6,FALSE),"")</f>
        <v>水</v>
      </c>
      <c r="J72">
        <f>IF($C72&lt;&gt;"",VLOOKUP($C72,授業リスト!$A:$J,7,FALSE),"")</f>
        <v>2</v>
      </c>
      <c r="K72" s="30">
        <f>IF($C72&lt;&gt;"",VLOOKUP($C72,授業リスト!$A:$J,9,FALSE),"")</f>
        <v>4</v>
      </c>
      <c r="N72" t="str">
        <f>IF($C72&lt;&gt;"",VLOOKUP($C72,授業リスト!$A:$Z,COLUMN(),FALSE),"")</f>
        <v/>
      </c>
      <c r="O72" t="str">
        <f>IF($C72&lt;&gt;"",VLOOKUP($C72,授業リスト!$A:$Z,COLUMN(),FALSE),"")</f>
        <v>Y</v>
      </c>
      <c r="P72" t="str">
        <f>IF($C72&lt;&gt;"",VLOOKUP($C72,授業リスト!$A:$Z,COLUMN(),FALSE),"")</f>
        <v/>
      </c>
      <c r="Q72" t="str">
        <f>IF($C72&lt;&gt;"",VLOOKUP($C72,授業リスト!$A:$Z,COLUMN(),FALSE),"")</f>
        <v/>
      </c>
      <c r="R72" t="str">
        <f>IF($C72&lt;&gt;"",VLOOKUP($C72,授業リスト!$A:$Z,COLUMN(),FALSE),"")</f>
        <v/>
      </c>
      <c r="S72" t="str">
        <f>IF($C72&lt;&gt;"",VLOOKUP($C72,授業リスト!$A:$Z,COLUMN(),FALSE),"")</f>
        <v/>
      </c>
      <c r="T72" t="str">
        <f>IF($C72&lt;&gt;"",VLOOKUP($C72,授業リスト!$A:$Z,COLUMN(),FALSE),"")</f>
        <v/>
      </c>
      <c r="U72" t="str">
        <f>IF($C72&lt;&gt;"",VLOOKUP($C72,授業リスト!$A:$Z,COLUMN(),FALSE),"")</f>
        <v/>
      </c>
      <c r="V72" t="str">
        <f>IF($C72&lt;&gt;"",VLOOKUP($C72,授業リスト!$A:$Z,COLUMN(),FALSE),"")</f>
        <v/>
      </c>
      <c r="W72">
        <f>IF($C72&lt;&gt;"",VLOOKUP($C72,授業リスト!$A:$Z,COLUMN(),FALSE),"")</f>
        <v>0</v>
      </c>
      <c r="X72">
        <f>IF($C72&lt;&gt;"",VLOOKUP($C72,授業リスト!$A:$Z,COLUMN(),FALSE),"")</f>
        <v>0</v>
      </c>
      <c r="Y72">
        <f>IF($C72&lt;&gt;"",VLOOKUP($C72,授業リスト!$A:$Z,COLUMN(),FALSE),"")</f>
        <v>0</v>
      </c>
      <c r="Z72">
        <f>IF($C72&lt;&gt;"",VLOOKUP($C72,授業リスト!$A:$Z,COLUMN(),FALSE),"")</f>
        <v>0</v>
      </c>
    </row>
    <row r="73" spans="1:26" ht="17">
      <c r="A73">
        <v>3</v>
      </c>
      <c r="B73" t="s">
        <v>47</v>
      </c>
      <c r="C73" s="87">
        <v>37467</v>
      </c>
      <c r="D73" t="str">
        <f>IF($C73&lt;&gt;"",VLOOKUP($C73,授業リスト!$A:$J,2,FALSE),"")</f>
        <v>Special Lectures in English Linguistics I</v>
      </c>
      <c r="E73" t="str">
        <f>IF($C73&lt;&gt;"",VLOOKUP($C73,授業リスト!$A:$J,3,FALSE),"")</f>
        <v/>
      </c>
      <c r="F73" t="str">
        <f>IF($C73&lt;&gt;"",VLOOKUP($C73,授業リスト!$A:$J,8,FALSE),"")</f>
        <v>Guglielmo Marconi</v>
      </c>
      <c r="G73">
        <f>IF($C73&lt;&gt;"",VLOOKUP($C73,授業リスト!$A:$J,4,FALSE),"")</f>
        <v>2</v>
      </c>
      <c r="H73" t="str">
        <f>IF($C73&lt;&gt;"",VLOOKUP($C73,授業リスト!$A:$J,5,FALSE),"")</f>
        <v>後</v>
      </c>
      <c r="I73" t="str">
        <f>IF($C73&lt;&gt;"",VLOOKUP($C73,授業リスト!$A:$J,6,FALSE),"")</f>
        <v>木</v>
      </c>
      <c r="J73">
        <f>IF($C73&lt;&gt;"",VLOOKUP($C73,授業リスト!$A:$J,7,FALSE),"")</f>
        <v>4</v>
      </c>
      <c r="K73" s="30">
        <f>IF($C73&lt;&gt;"",VLOOKUP($C73,授業リスト!$A:$J,9,FALSE),"")</f>
        <v>1</v>
      </c>
      <c r="N73" t="str">
        <f>IF($C73&lt;&gt;"",VLOOKUP($C73,授業リスト!$A:$Z,COLUMN(),FALSE),"")</f>
        <v/>
      </c>
      <c r="O73" t="str">
        <f>IF($C73&lt;&gt;"",VLOOKUP($C73,授業リスト!$A:$Z,COLUMN(),FALSE),"")</f>
        <v>Y</v>
      </c>
      <c r="P73" t="str">
        <f>IF($C73&lt;&gt;"",VLOOKUP($C73,授業リスト!$A:$Z,COLUMN(),FALSE),"")</f>
        <v/>
      </c>
      <c r="Q73" t="str">
        <f>IF($C73&lt;&gt;"",VLOOKUP($C73,授業リスト!$A:$Z,COLUMN(),FALSE),"")</f>
        <v/>
      </c>
      <c r="R73" t="str">
        <f>IF($C73&lt;&gt;"",VLOOKUP($C73,授業リスト!$A:$Z,COLUMN(),FALSE),"")</f>
        <v/>
      </c>
      <c r="S73" t="str">
        <f>IF($C73&lt;&gt;"",VLOOKUP($C73,授業リスト!$A:$Z,COLUMN(),FALSE),"")</f>
        <v/>
      </c>
      <c r="T73" t="str">
        <f>IF($C73&lt;&gt;"",VLOOKUP($C73,授業リスト!$A:$Z,COLUMN(),FALSE),"")</f>
        <v/>
      </c>
      <c r="U73" t="str">
        <f>IF($C73&lt;&gt;"",VLOOKUP($C73,授業リスト!$A:$Z,COLUMN(),FALSE),"")</f>
        <v/>
      </c>
      <c r="V73" t="str">
        <f>IF($C73&lt;&gt;"",VLOOKUP($C73,授業リスト!$A:$Z,COLUMN(),FALSE),"")</f>
        <v/>
      </c>
      <c r="W73">
        <f>IF($C73&lt;&gt;"",VLOOKUP($C73,授業リスト!$A:$Z,COLUMN(),FALSE),"")</f>
        <v>0</v>
      </c>
      <c r="X73">
        <f>IF($C73&lt;&gt;"",VLOOKUP($C73,授業リスト!$A:$Z,COLUMN(),FALSE),"")</f>
        <v>0</v>
      </c>
      <c r="Y73">
        <f>IF($C73&lt;&gt;"",VLOOKUP($C73,授業リスト!$A:$Z,COLUMN(),FALSE),"")</f>
        <v>0</v>
      </c>
      <c r="Z73">
        <f>IF($C73&lt;&gt;"",VLOOKUP($C73,授業リスト!$A:$Z,COLUMN(),FALSE),"")</f>
        <v>0</v>
      </c>
    </row>
    <row r="74" spans="1:26" ht="17">
      <c r="A74">
        <v>3</v>
      </c>
      <c r="B74" t="s">
        <v>47</v>
      </c>
      <c r="C74" s="87">
        <v>37468</v>
      </c>
      <c r="D74" t="str">
        <f>IF($C74&lt;&gt;"",VLOOKUP($C74,授業リスト!$A:$J,2,FALSE),"")</f>
        <v>Special Lectures in English Linguistics II</v>
      </c>
      <c r="E74" t="str">
        <f>IF($C74&lt;&gt;"",VLOOKUP($C74,授業リスト!$A:$J,3,FALSE),"")</f>
        <v/>
      </c>
      <c r="F74" t="str">
        <f>IF($C74&lt;&gt;"",VLOOKUP($C74,授業リスト!$A:$J,8,FALSE),"")</f>
        <v>John Locke</v>
      </c>
      <c r="G74">
        <f>IF($C74&lt;&gt;"",VLOOKUP($C74,授業リスト!$A:$J,4,FALSE),"")</f>
        <v>2</v>
      </c>
      <c r="H74" t="str">
        <f>IF($C74&lt;&gt;"",VLOOKUP($C74,授業リスト!$A:$J,5,FALSE),"")</f>
        <v>後</v>
      </c>
      <c r="I74" t="str">
        <f>IF($C74&lt;&gt;"",VLOOKUP($C74,授業リスト!$A:$J,6,FALSE),"")</f>
        <v>水</v>
      </c>
      <c r="J74">
        <f>IF($C74&lt;&gt;"",VLOOKUP($C74,授業リスト!$A:$J,7,FALSE),"")</f>
        <v>5</v>
      </c>
      <c r="K74" s="30" t="str">
        <f>IF($C74&lt;&gt;"",VLOOKUP($C74,授業リスト!$A:$J,9,FALSE),"")</f>
        <v>2～4</v>
      </c>
      <c r="N74" t="str">
        <f>IF($C74&lt;&gt;"",VLOOKUP($C74,授業リスト!$A:$Z,COLUMN(),FALSE),"")</f>
        <v/>
      </c>
      <c r="O74" t="str">
        <f>IF($C74&lt;&gt;"",VLOOKUP($C74,授業リスト!$A:$Z,COLUMN(),FALSE),"")</f>
        <v>Y</v>
      </c>
      <c r="P74" t="str">
        <f>IF($C74&lt;&gt;"",VLOOKUP($C74,授業リスト!$A:$Z,COLUMN(),FALSE),"")</f>
        <v/>
      </c>
      <c r="Q74" t="str">
        <f>IF($C74&lt;&gt;"",VLOOKUP($C74,授業リスト!$A:$Z,COLUMN(),FALSE),"")</f>
        <v/>
      </c>
      <c r="R74" t="str">
        <f>IF($C74&lt;&gt;"",VLOOKUP($C74,授業リスト!$A:$Z,COLUMN(),FALSE),"")</f>
        <v/>
      </c>
      <c r="S74" t="str">
        <f>IF($C74&lt;&gt;"",VLOOKUP($C74,授業リスト!$A:$Z,COLUMN(),FALSE),"")</f>
        <v/>
      </c>
      <c r="T74" t="str">
        <f>IF($C74&lt;&gt;"",VLOOKUP($C74,授業リスト!$A:$Z,COLUMN(),FALSE),"")</f>
        <v/>
      </c>
      <c r="U74" t="str">
        <f>IF($C74&lt;&gt;"",VLOOKUP($C74,授業リスト!$A:$Z,COLUMN(),FALSE),"")</f>
        <v/>
      </c>
      <c r="V74" t="str">
        <f>IF($C74&lt;&gt;"",VLOOKUP($C74,授業リスト!$A:$Z,COLUMN(),FALSE),"")</f>
        <v/>
      </c>
      <c r="W74">
        <f>IF($C74&lt;&gt;"",VLOOKUP($C74,授業リスト!$A:$Z,COLUMN(),FALSE),"")</f>
        <v>0</v>
      </c>
      <c r="X74">
        <f>IF($C74&lt;&gt;"",VLOOKUP($C74,授業リスト!$A:$Z,COLUMN(),FALSE),"")</f>
        <v>0</v>
      </c>
      <c r="Y74">
        <f>IF($C74&lt;&gt;"",VLOOKUP($C74,授業リスト!$A:$Z,COLUMN(),FALSE),"")</f>
        <v>0</v>
      </c>
      <c r="Z74">
        <f>IF($C74&lt;&gt;"",VLOOKUP($C74,授業リスト!$A:$Z,COLUMN(),FALSE),"")</f>
        <v>0</v>
      </c>
    </row>
    <row r="75" spans="1:26" ht="17">
      <c r="A75" s="37">
        <v>4</v>
      </c>
      <c r="B75" s="37" t="s">
        <v>69</v>
      </c>
      <c r="C75" s="85">
        <v>37232</v>
      </c>
      <c r="D75" s="37" t="str">
        <f>IF($C75&lt;&gt;"",VLOOKUP($C75,授業リスト!$A:$J,2,FALSE),"")</f>
        <v>Teaching Methods for Secondary English IV</v>
      </c>
      <c r="E75" s="37">
        <f>IF($C75&lt;&gt;"",VLOOKUP($C75,授業リスト!$A:$J,3,FALSE),"")</f>
        <v>0</v>
      </c>
      <c r="F75" s="37" t="str">
        <f>IF($C75&lt;&gt;"",VLOOKUP($C75,授業リスト!$A:$J,8,FALSE),"")</f>
        <v>George Washington</v>
      </c>
      <c r="G75" s="37">
        <f>IF($C75&lt;&gt;"",VLOOKUP($C75,授業リスト!$A:$J,4,FALSE),"")</f>
        <v>2</v>
      </c>
      <c r="H75" s="37" t="str">
        <f>IF($C75&lt;&gt;"",VLOOKUP($C75,授業リスト!$A:$J,5,FALSE),"")</f>
        <v>前</v>
      </c>
      <c r="I75" s="37" t="str">
        <f>IF($C75&lt;&gt;"",VLOOKUP($C75,授業リスト!$A:$J,6,FALSE),"")</f>
        <v>金</v>
      </c>
      <c r="J75" s="37">
        <f>IF($C75&lt;&gt;"",VLOOKUP($C75,授業リスト!$A:$J,7,FALSE),"")</f>
        <v>1</v>
      </c>
      <c r="K75" s="38">
        <f>IF($C75&lt;&gt;"",VLOOKUP($C75,授業リスト!$A:$J,9,FALSE),"")</f>
        <v>4</v>
      </c>
      <c r="N75" t="str">
        <f>IF($C75&lt;&gt;"",VLOOKUP($C75,授業リスト!$A:$Z,COLUMN(),FALSE),"")</f>
        <v/>
      </c>
      <c r="O75" t="str">
        <f>IF($C75&lt;&gt;"",VLOOKUP($C75,授業リスト!$A:$Z,COLUMN(),FALSE),"")</f>
        <v>Y</v>
      </c>
      <c r="P75" t="str">
        <f>IF($C75&lt;&gt;"",VLOOKUP($C75,授業リスト!$A:$Z,COLUMN(),FALSE),"")</f>
        <v/>
      </c>
      <c r="Q75" t="str">
        <f>IF($C75&lt;&gt;"",VLOOKUP($C75,授業リスト!$A:$Z,COLUMN(),FALSE),"")</f>
        <v/>
      </c>
      <c r="R75" t="str">
        <f>IF($C75&lt;&gt;"",VLOOKUP($C75,授業リスト!$A:$Z,COLUMN(),FALSE),"")</f>
        <v/>
      </c>
      <c r="S75" t="str">
        <f>IF($C75&lt;&gt;"",VLOOKUP($C75,授業リスト!$A:$Z,COLUMN(),FALSE),"")</f>
        <v/>
      </c>
      <c r="T75" t="str">
        <f>IF($C75&lt;&gt;"",VLOOKUP($C75,授業リスト!$A:$Z,COLUMN(),FALSE),"")</f>
        <v/>
      </c>
      <c r="U75" t="str">
        <f>IF($C75&lt;&gt;"",VLOOKUP($C75,授業リスト!$A:$Z,COLUMN(),FALSE),"")</f>
        <v/>
      </c>
      <c r="V75" t="str">
        <f>IF($C75&lt;&gt;"",VLOOKUP($C75,授業リスト!$A:$Z,COLUMN(),FALSE),"")</f>
        <v/>
      </c>
      <c r="W75">
        <f>IF($C75&lt;&gt;"",VLOOKUP($C75,授業リスト!$A:$Z,COLUMN(),FALSE),"")</f>
        <v>0</v>
      </c>
      <c r="X75">
        <f>IF($C75&lt;&gt;"",VLOOKUP($C75,授業リスト!$A:$Z,COLUMN(),FALSE),"")</f>
        <v>0</v>
      </c>
      <c r="Y75">
        <f>IF($C75&lt;&gt;"",VLOOKUP($C75,授業リスト!$A:$Z,COLUMN(),FALSE),"")</f>
        <v>0</v>
      </c>
      <c r="Z75">
        <f>IF($C75&lt;&gt;"",VLOOKUP($C75,授業リスト!$A:$Z,COLUMN(),FALSE),"")</f>
        <v>0</v>
      </c>
    </row>
    <row r="76" spans="1:26" ht="17">
      <c r="A76" s="37">
        <v>4</v>
      </c>
      <c r="B76" s="37" t="s">
        <v>69</v>
      </c>
      <c r="C76" s="85">
        <v>38108</v>
      </c>
      <c r="D76" s="37" t="str">
        <f>IF($C76&lt;&gt;"",VLOOKUP($C76,授業リスト!$A:$J,2,FALSE),"")</f>
        <v>Care and Experiential Internship</v>
      </c>
      <c r="E76" s="37">
        <f>IF($C76&lt;&gt;"",VLOOKUP($C76,授業リスト!$A:$J,3,FALSE),"")</f>
        <v>0</v>
      </c>
      <c r="F76" s="37" t="str">
        <f>IF($C76&lt;&gt;"",VLOOKUP($C76,授業リスト!$A:$J,8,FALSE),"")</f>
        <v>Charles Darwin</v>
      </c>
      <c r="G76" s="37">
        <f>IF($C76&lt;&gt;"",VLOOKUP($C76,授業リスト!$A:$J,4,FALSE),"")</f>
        <v>2</v>
      </c>
      <c r="H76" s="37">
        <f>IF($C76&lt;&gt;"",VLOOKUP($C76,授業リスト!$A:$J,5,FALSE),"")</f>
        <v>0</v>
      </c>
      <c r="I76" s="37" t="str">
        <f>IF($C76&lt;&gt;"",VLOOKUP($C76,授業リスト!$A:$J,6,FALSE),"")</f>
        <v>実習</v>
      </c>
      <c r="J76" s="37">
        <f>IF($C76&lt;&gt;"",VLOOKUP($C76,授業リスト!$A:$J,7,FALSE),"")</f>
        <v>0</v>
      </c>
      <c r="K76" s="38">
        <f>IF($C76&lt;&gt;"",VLOOKUP($C76,授業リスト!$A:$J,9,FALSE),"")</f>
        <v>4</v>
      </c>
      <c r="N76" t="str">
        <f>IF($C76&lt;&gt;"",VLOOKUP($C76,授業リスト!$A:$Z,COLUMN(),FALSE),"")</f>
        <v/>
      </c>
      <c r="O76" t="str">
        <f>IF($C76&lt;&gt;"",VLOOKUP($C76,授業リスト!$A:$Z,COLUMN(),FALSE),"")</f>
        <v/>
      </c>
      <c r="P76" t="str">
        <f>IF($C76&lt;&gt;"",VLOOKUP($C76,授業リスト!$A:$Z,COLUMN(),FALSE),"")</f>
        <v>Y</v>
      </c>
      <c r="Q76" t="str">
        <f>IF($C76&lt;&gt;"",VLOOKUP($C76,授業リスト!$A:$Z,COLUMN(),FALSE),"")</f>
        <v>Y</v>
      </c>
      <c r="R76" t="str">
        <f>IF($C76&lt;&gt;"",VLOOKUP($C76,授業リスト!$A:$Z,COLUMN(),FALSE),"")</f>
        <v>Y</v>
      </c>
      <c r="S76" t="str">
        <f>IF($C76&lt;&gt;"",VLOOKUP($C76,授業リスト!$A:$Z,COLUMN(),FALSE),"")</f>
        <v/>
      </c>
      <c r="T76" t="str">
        <f>IF($C76&lt;&gt;"",VLOOKUP($C76,授業リスト!$A:$Z,COLUMN(),FALSE),"")</f>
        <v/>
      </c>
      <c r="U76" t="str">
        <f>IF($C76&lt;&gt;"",VLOOKUP($C76,授業リスト!$A:$Z,COLUMN(),FALSE),"")</f>
        <v/>
      </c>
      <c r="V76" t="str">
        <f>IF($C76&lt;&gt;"",VLOOKUP($C76,授業リスト!$A:$Z,COLUMN(),FALSE),"")</f>
        <v/>
      </c>
      <c r="W76">
        <f>IF($C76&lt;&gt;"",VLOOKUP($C76,授業リスト!$A:$Z,COLUMN(),FALSE),"")</f>
        <v>0</v>
      </c>
      <c r="X76">
        <f>IF($C76&lt;&gt;"",VLOOKUP($C76,授業リスト!$A:$Z,COLUMN(),FALSE),"")</f>
        <v>0</v>
      </c>
      <c r="Y76">
        <f>IF($C76&lt;&gt;"",VLOOKUP($C76,授業リスト!$A:$Z,COLUMN(),FALSE),"")</f>
        <v>0</v>
      </c>
      <c r="Z76">
        <f>IF($C76&lt;&gt;"",VLOOKUP($C76,授業リスト!$A:$Z,COLUMN(),FALSE),"")</f>
        <v>0</v>
      </c>
    </row>
    <row r="77" spans="1:26" ht="17">
      <c r="A77" s="37">
        <v>4</v>
      </c>
      <c r="B77" s="37" t="s">
        <v>69</v>
      </c>
      <c r="C77" s="85">
        <v>37463</v>
      </c>
      <c r="D77" s="37" t="str">
        <f>IF($C77&lt;&gt;"",VLOOKUP($C77,授業リスト!$A:$J,2,FALSE),"")</f>
        <v>Intercultural Understanding II</v>
      </c>
      <c r="E77" s="37" t="str">
        <f>IF($C77&lt;&gt;"",VLOOKUP($C77,授業リスト!$A:$J,3,FALSE),"")</f>
        <v/>
      </c>
      <c r="F77" s="37" t="str">
        <f>IF($C77&lt;&gt;"",VLOOKUP($C77,授業リスト!$A:$J,8,FALSE),"")</f>
        <v>Alexander the Great</v>
      </c>
      <c r="G77" s="37">
        <f>IF($C77&lt;&gt;"",VLOOKUP($C77,授業リスト!$A:$J,4,FALSE),"")</f>
        <v>2</v>
      </c>
      <c r="H77" s="37" t="str">
        <f>IF($C77&lt;&gt;"",VLOOKUP($C77,授業リスト!$A:$J,5,FALSE),"")</f>
        <v>前</v>
      </c>
      <c r="I77" s="37" t="str">
        <f>IF($C77&lt;&gt;"",VLOOKUP($C77,授業リスト!$A:$J,6,FALSE),"")</f>
        <v>未定</v>
      </c>
      <c r="J77" s="37" t="str">
        <f>IF($C77&lt;&gt;"",VLOOKUP($C77,授業リスト!$A:$J,7,FALSE),"")</f>
        <v>未定</v>
      </c>
      <c r="K77" s="38" t="str">
        <f>IF($C77&lt;&gt;"",VLOOKUP($C77,授業リスト!$A:$J,9,FALSE),"")</f>
        <v>3～4</v>
      </c>
      <c r="N77" t="str">
        <f>IF($C77&lt;&gt;"",VLOOKUP($C77,授業リスト!$A:$Z,COLUMN(),FALSE),"")</f>
        <v/>
      </c>
      <c r="O77" t="str">
        <f>IF($C77&lt;&gt;"",VLOOKUP($C77,授業リスト!$A:$Z,COLUMN(),FALSE),"")</f>
        <v>Y</v>
      </c>
      <c r="P77" t="str">
        <f>IF($C77&lt;&gt;"",VLOOKUP($C77,授業リスト!$A:$Z,COLUMN(),FALSE),"")</f>
        <v/>
      </c>
      <c r="Q77" t="str">
        <f>IF($C77&lt;&gt;"",VLOOKUP($C77,授業リスト!$A:$Z,COLUMN(),FALSE),"")</f>
        <v/>
      </c>
      <c r="R77" t="str">
        <f>IF($C77&lt;&gt;"",VLOOKUP($C77,授業リスト!$A:$Z,COLUMN(),FALSE),"")</f>
        <v/>
      </c>
      <c r="S77" t="str">
        <f>IF($C77&lt;&gt;"",VLOOKUP($C77,授業リスト!$A:$Z,COLUMN(),FALSE),"")</f>
        <v/>
      </c>
      <c r="T77" t="str">
        <f>IF($C77&lt;&gt;"",VLOOKUP($C77,授業リスト!$A:$Z,COLUMN(),FALSE),"")</f>
        <v/>
      </c>
      <c r="U77" t="str">
        <f>IF($C77&lt;&gt;"",VLOOKUP($C77,授業リスト!$A:$Z,COLUMN(),FALSE),"")</f>
        <v/>
      </c>
      <c r="V77" t="str">
        <f>IF($C77&lt;&gt;"",VLOOKUP($C77,授業リスト!$A:$Z,COLUMN(),FALSE),"")</f>
        <v/>
      </c>
      <c r="W77">
        <f>IF($C77&lt;&gt;"",VLOOKUP($C77,授業リスト!$A:$Z,COLUMN(),FALSE),"")</f>
        <v>0</v>
      </c>
      <c r="X77">
        <f>IF($C77&lt;&gt;"",VLOOKUP($C77,授業リスト!$A:$Z,COLUMN(),FALSE),"")</f>
        <v>0</v>
      </c>
      <c r="Y77">
        <f>IF($C77&lt;&gt;"",VLOOKUP($C77,授業リスト!$A:$Z,COLUMN(),FALSE),"")</f>
        <v>0</v>
      </c>
      <c r="Z77">
        <f>IF($C77&lt;&gt;"",VLOOKUP($C77,授業リスト!$A:$Z,COLUMN(),FALSE),"")</f>
        <v>0</v>
      </c>
    </row>
    <row r="78" spans="1:26" ht="17">
      <c r="A78" s="37">
        <v>4</v>
      </c>
      <c r="B78" s="37" t="s">
        <v>69</v>
      </c>
      <c r="C78" s="85">
        <v>37485</v>
      </c>
      <c r="D78" s="37" t="str">
        <f>IF($C78&lt;&gt;"",VLOOKUP($C78,授業リスト!$A:$J,2,FALSE),"")</f>
        <v>Special Lectures in English Communication Studies III</v>
      </c>
      <c r="E78" s="37">
        <f>IF($C78&lt;&gt;"",VLOOKUP($C78,授業リスト!$A:$J,3,FALSE),"")</f>
        <v>0</v>
      </c>
      <c r="F78" s="37" t="str">
        <f>IF($C78&lt;&gt;"",VLOOKUP($C78,授業リスト!$A:$J,8,FALSE),"")</f>
        <v>Robert Frost</v>
      </c>
      <c r="G78" s="37">
        <f>IF($C78&lt;&gt;"",VLOOKUP($C78,授業リスト!$A:$J,4,FALSE),"")</f>
        <v>2</v>
      </c>
      <c r="H78" s="37" t="str">
        <f>IF($C78&lt;&gt;"",VLOOKUP($C78,授業リスト!$A:$J,5,FALSE),"")</f>
        <v>前</v>
      </c>
      <c r="I78" s="37" t="str">
        <f>IF($C78&lt;&gt;"",VLOOKUP($C78,授業リスト!$A:$J,6,FALSE),"")</f>
        <v>火</v>
      </c>
      <c r="J78" s="37">
        <f>IF($C78&lt;&gt;"",VLOOKUP($C78,授業リスト!$A:$J,7,FALSE),"")</f>
        <v>3</v>
      </c>
      <c r="K78" s="38">
        <f>IF($C78&lt;&gt;"",VLOOKUP($C78,授業リスト!$A:$J,9,FALSE),"")</f>
        <v>4</v>
      </c>
      <c r="N78" t="str">
        <f>IF($C78&lt;&gt;"",VLOOKUP($C78,授業リスト!$A:$Z,COLUMN(),FALSE),"")</f>
        <v/>
      </c>
      <c r="O78" t="str">
        <f>IF($C78&lt;&gt;"",VLOOKUP($C78,授業リスト!$A:$Z,COLUMN(),FALSE),"")</f>
        <v>Y</v>
      </c>
      <c r="P78" t="str">
        <f>IF($C78&lt;&gt;"",VLOOKUP($C78,授業リスト!$A:$Z,COLUMN(),FALSE),"")</f>
        <v/>
      </c>
      <c r="Q78" t="str">
        <f>IF($C78&lt;&gt;"",VLOOKUP($C78,授業リスト!$A:$Z,COLUMN(),FALSE),"")</f>
        <v/>
      </c>
      <c r="R78" t="str">
        <f>IF($C78&lt;&gt;"",VLOOKUP($C78,授業リスト!$A:$Z,COLUMN(),FALSE),"")</f>
        <v/>
      </c>
      <c r="S78" t="str">
        <f>IF($C78&lt;&gt;"",VLOOKUP($C78,授業リスト!$A:$Z,COLUMN(),FALSE),"")</f>
        <v/>
      </c>
      <c r="T78" t="str">
        <f>IF($C78&lt;&gt;"",VLOOKUP($C78,授業リスト!$A:$Z,COLUMN(),FALSE),"")</f>
        <v/>
      </c>
      <c r="U78" t="str">
        <f>IF($C78&lt;&gt;"",VLOOKUP($C78,授業リスト!$A:$Z,COLUMN(),FALSE),"")</f>
        <v/>
      </c>
      <c r="V78" t="str">
        <f>IF($C78&lt;&gt;"",VLOOKUP($C78,授業リスト!$A:$Z,COLUMN(),FALSE),"")</f>
        <v/>
      </c>
      <c r="W78">
        <f>IF($C78&lt;&gt;"",VLOOKUP($C78,授業リスト!$A:$Z,COLUMN(),FALSE),"")</f>
        <v>0</v>
      </c>
      <c r="X78">
        <f>IF($C78&lt;&gt;"",VLOOKUP($C78,授業リスト!$A:$Z,COLUMN(),FALSE),"")</f>
        <v>0</v>
      </c>
      <c r="Y78">
        <f>IF($C78&lt;&gt;"",VLOOKUP($C78,授業リスト!$A:$Z,COLUMN(),FALSE),"")</f>
        <v>0</v>
      </c>
      <c r="Z78">
        <f>IF($C78&lt;&gt;"",VLOOKUP($C78,授業リスト!$A:$Z,COLUMN(),FALSE),"")</f>
        <v>0</v>
      </c>
    </row>
    <row r="79" spans="1:26" ht="17">
      <c r="A79">
        <v>4</v>
      </c>
      <c r="B79" t="s">
        <v>47</v>
      </c>
      <c r="C79" s="87">
        <v>38019</v>
      </c>
      <c r="D79" t="str">
        <f>IF($C79&lt;&gt;"",VLOOKUP($C79,授業リスト!$A:$J,2,FALSE),"")</f>
        <v>Graduation Research</v>
      </c>
      <c r="E79">
        <f>IF($C79&lt;&gt;"",VLOOKUP($C79,授業リスト!$A:$J,3,FALSE),"")</f>
        <v>0</v>
      </c>
      <c r="F79" t="str">
        <f>IF($C79&lt;&gt;"",VLOOKUP($C79,授業リスト!$A:$J,8,FALSE),"")</f>
        <v>Antoine de Saint-Exupéry</v>
      </c>
      <c r="G79">
        <f>IF($C79&lt;&gt;"",VLOOKUP($C79,授業リスト!$A:$J,4,FALSE),"")</f>
        <v>4</v>
      </c>
      <c r="H79">
        <f>IF($C79&lt;&gt;"",VLOOKUP($C79,授業リスト!$A:$J,5,FALSE),"")</f>
        <v>0</v>
      </c>
      <c r="I79" t="str">
        <f>IF($C79&lt;&gt;"",VLOOKUP($C79,授業リスト!$A:$J,6,FALSE),"")</f>
        <v>不定期</v>
      </c>
      <c r="J79">
        <f>IF($C79&lt;&gt;"",VLOOKUP($C79,授業リスト!$A:$J,7,FALSE),"")</f>
        <v>0</v>
      </c>
      <c r="K79" s="30">
        <f>IF($C79&lt;&gt;"",VLOOKUP($C79,授業リスト!$A:$J,9,FALSE),"")</f>
        <v>4</v>
      </c>
      <c r="N79" t="str">
        <f>IF($C79&lt;&gt;"",VLOOKUP($C79,授業リスト!$A:$Z,COLUMN(),FALSE),"")</f>
        <v/>
      </c>
      <c r="O79" t="str">
        <f>IF($C79&lt;&gt;"",VLOOKUP($C79,授業リスト!$A:$Z,COLUMN(),FALSE),"")</f>
        <v>Y</v>
      </c>
      <c r="P79" t="str">
        <f>IF($C79&lt;&gt;"",VLOOKUP($C79,授業リスト!$A:$Z,COLUMN(),FALSE),"")</f>
        <v/>
      </c>
      <c r="Q79" t="str">
        <f>IF($C79&lt;&gt;"",VLOOKUP($C79,授業リスト!$A:$Z,COLUMN(),FALSE),"")</f>
        <v/>
      </c>
      <c r="R79" t="str">
        <f>IF($C79&lt;&gt;"",VLOOKUP($C79,授業リスト!$A:$Z,COLUMN(),FALSE),"")</f>
        <v/>
      </c>
      <c r="S79" t="str">
        <f>IF($C79&lt;&gt;"",VLOOKUP($C79,授業リスト!$A:$Z,COLUMN(),FALSE),"")</f>
        <v/>
      </c>
      <c r="T79" t="str">
        <f>IF($C79&lt;&gt;"",VLOOKUP($C79,授業リスト!$A:$Z,COLUMN(),FALSE),"")</f>
        <v>Y</v>
      </c>
      <c r="U79" t="str">
        <f>IF($C79&lt;&gt;"",VLOOKUP($C79,授業リスト!$A:$Z,COLUMN(),FALSE),"")</f>
        <v>Y</v>
      </c>
      <c r="V79" t="str">
        <f>IF($C79&lt;&gt;"",VLOOKUP($C79,授業リスト!$A:$Z,COLUMN(),FALSE),"")</f>
        <v>Y</v>
      </c>
      <c r="W79">
        <f>IF($C79&lt;&gt;"",VLOOKUP($C79,授業リスト!$A:$Z,COLUMN(),FALSE),"")</f>
        <v>0</v>
      </c>
      <c r="X79">
        <f>IF($C79&lt;&gt;"",VLOOKUP($C79,授業リスト!$A:$Z,COLUMN(),FALSE),"")</f>
        <v>0</v>
      </c>
      <c r="Y79">
        <f>IF($C79&lt;&gt;"",VLOOKUP($C79,授業リスト!$A:$Z,COLUMN(),FALSE),"")</f>
        <v>0</v>
      </c>
      <c r="Z79">
        <f>IF($C79&lt;&gt;"",VLOOKUP($C79,授業リスト!$A:$Z,COLUMN(),FALSE),"")</f>
        <v>0</v>
      </c>
    </row>
    <row r="80" spans="1:26" ht="17">
      <c r="A80">
        <v>4</v>
      </c>
      <c r="B80" t="s">
        <v>47</v>
      </c>
      <c r="C80" s="87">
        <v>37270</v>
      </c>
      <c r="D80" t="str">
        <f>IF($C80&lt;&gt;"",VLOOKUP($C80,授業リスト!$A:$J,2,FALSE),"")</f>
        <v>Professional Practice Exercises (Preschool, Elementary, Middle, High)</v>
      </c>
      <c r="E80" t="str">
        <f>IF($C80&lt;&gt;"",VLOOKUP($C80,授業リスト!$A:$J,3,FALSE),"")</f>
        <v>English Education</v>
      </c>
      <c r="F80" t="str">
        <f>IF($C80&lt;&gt;"",VLOOKUP($C80,授業リスト!$A:$J,8,FALSE),"")</f>
        <v>George Washington</v>
      </c>
      <c r="G80">
        <f>IF($C80&lt;&gt;"",VLOOKUP($C80,授業リスト!$A:$J,4,FALSE),"")</f>
        <v>2</v>
      </c>
      <c r="H80" t="str">
        <f>IF($C80&lt;&gt;"",VLOOKUP($C80,授業リスト!$A:$J,5,FALSE),"")</f>
        <v>後</v>
      </c>
      <c r="I80" t="str">
        <f>IF($C80&lt;&gt;"",VLOOKUP($C80,授業リスト!$A:$J,6,FALSE),"")</f>
        <v>木</v>
      </c>
      <c r="J80">
        <f>IF($C80&lt;&gt;"",VLOOKUP($C80,授業リスト!$A:$J,7,FALSE),"")</f>
        <v>2</v>
      </c>
      <c r="K80" s="30">
        <f>IF($C80&lt;&gt;"",VLOOKUP($C80,授業リスト!$A:$J,9,FALSE),"")</f>
        <v>4</v>
      </c>
      <c r="N80" t="str">
        <f>IF($C80&lt;&gt;"",VLOOKUP($C80,授業リスト!$A:$Z,COLUMN(),FALSE),"")</f>
        <v/>
      </c>
      <c r="O80" t="str">
        <f>IF($C80&lt;&gt;"",VLOOKUP($C80,授業リスト!$A:$Z,COLUMN(),FALSE),"")</f>
        <v>Y</v>
      </c>
      <c r="P80" t="str">
        <f>IF($C80&lt;&gt;"",VLOOKUP($C80,授業リスト!$A:$Z,COLUMN(),FALSE),"")</f>
        <v/>
      </c>
      <c r="Q80" t="str">
        <f>IF($C80&lt;&gt;"",VLOOKUP($C80,授業リスト!$A:$Z,COLUMN(),FALSE),"")</f>
        <v>Y</v>
      </c>
      <c r="R80" t="str">
        <f>IF($C80&lt;&gt;"",VLOOKUP($C80,授業リスト!$A:$Z,COLUMN(),FALSE),"")</f>
        <v/>
      </c>
      <c r="S80" t="str">
        <f>IF($C80&lt;&gt;"",VLOOKUP($C80,授業リスト!$A:$Z,COLUMN(),FALSE),"")</f>
        <v/>
      </c>
      <c r="T80" t="str">
        <f>IF($C80&lt;&gt;"",VLOOKUP($C80,授業リスト!$A:$Z,COLUMN(),FALSE),"")</f>
        <v/>
      </c>
      <c r="U80" t="str">
        <f>IF($C80&lt;&gt;"",VLOOKUP($C80,授業リスト!$A:$Z,COLUMN(),FALSE),"")</f>
        <v/>
      </c>
      <c r="V80" t="str">
        <f>IF($C80&lt;&gt;"",VLOOKUP($C80,授業リスト!$A:$Z,COLUMN(),FALSE),"")</f>
        <v/>
      </c>
      <c r="W80">
        <f>IF($C80&lt;&gt;"",VLOOKUP($C80,授業リスト!$A:$Z,COLUMN(),FALSE),"")</f>
        <v>0</v>
      </c>
      <c r="X80">
        <f>IF($C80&lt;&gt;"",VLOOKUP($C80,授業リスト!$A:$Z,COLUMN(),FALSE),"")</f>
        <v>0</v>
      </c>
      <c r="Y80">
        <f>IF($C80&lt;&gt;"",VLOOKUP($C80,授業リスト!$A:$Z,COLUMN(),FALSE),"")</f>
        <v>0</v>
      </c>
      <c r="Z80">
        <f>IF($C80&lt;&gt;"",VLOOKUP($C80,授業リスト!$A:$Z,COLUMN(),FALSE),"")</f>
        <v>0</v>
      </c>
    </row>
    <row r="81" spans="1:26" ht="17">
      <c r="A81">
        <v>4</v>
      </c>
      <c r="B81" t="s">
        <v>47</v>
      </c>
      <c r="C81" s="87">
        <v>37492</v>
      </c>
      <c r="D81" t="str">
        <f>IF($C81&lt;&gt;"",VLOOKUP($C81,授業リスト!$A:$J,2,FALSE),"")</f>
        <v>Special Research in English Education</v>
      </c>
      <c r="E81">
        <f>IF($C81&lt;&gt;"",VLOOKUP($C81,授業リスト!$A:$J,3,FALSE),"")</f>
        <v>0</v>
      </c>
      <c r="F81" t="str">
        <f>IF($C81&lt;&gt;"",VLOOKUP($C81,授業リスト!$A:$J,8,FALSE),"")</f>
        <v>Lewis Carroll</v>
      </c>
      <c r="G81">
        <f>IF($C81&lt;&gt;"",VLOOKUP($C81,授業リスト!$A:$J,4,FALSE),"")</f>
        <v>2</v>
      </c>
      <c r="H81" t="str">
        <f>IF($C81&lt;&gt;"",VLOOKUP($C81,授業リスト!$A:$J,5,FALSE),"")</f>
        <v>後</v>
      </c>
      <c r="I81" t="str">
        <f>IF($C81&lt;&gt;"",VLOOKUP($C81,授業リスト!$A:$J,6,FALSE),"")</f>
        <v>金</v>
      </c>
      <c r="J81">
        <f>IF($C81&lt;&gt;"",VLOOKUP($C81,授業リスト!$A:$J,7,FALSE),"")</f>
        <v>2</v>
      </c>
      <c r="K81" s="30">
        <f>IF($C81&lt;&gt;"",VLOOKUP($C81,授業リスト!$A:$J,9,FALSE),"")</f>
        <v>4</v>
      </c>
      <c r="N81" t="str">
        <f>IF($C81&lt;&gt;"",VLOOKUP($C81,授業リスト!$A:$Z,COLUMN(),FALSE),"")</f>
        <v/>
      </c>
      <c r="O81" t="str">
        <f>IF($C81&lt;&gt;"",VLOOKUP($C81,授業リスト!$A:$Z,COLUMN(),FALSE),"")</f>
        <v>Y</v>
      </c>
      <c r="P81" t="str">
        <f>IF($C81&lt;&gt;"",VLOOKUP($C81,授業リスト!$A:$Z,COLUMN(),FALSE),"")</f>
        <v/>
      </c>
      <c r="Q81" t="str">
        <f>IF($C81&lt;&gt;"",VLOOKUP($C81,授業リスト!$A:$Z,COLUMN(),FALSE),"")</f>
        <v/>
      </c>
      <c r="R81" t="str">
        <f>IF($C81&lt;&gt;"",VLOOKUP($C81,授業リスト!$A:$Z,COLUMN(),FALSE),"")</f>
        <v/>
      </c>
      <c r="S81" t="str">
        <f>IF($C81&lt;&gt;"",VLOOKUP($C81,授業リスト!$A:$Z,COLUMN(),FALSE),"")</f>
        <v/>
      </c>
      <c r="T81" t="str">
        <f>IF($C81&lt;&gt;"",VLOOKUP($C81,授業リスト!$A:$Z,COLUMN(),FALSE),"")</f>
        <v/>
      </c>
      <c r="U81" t="str">
        <f>IF($C81&lt;&gt;"",VLOOKUP($C81,授業リスト!$A:$Z,COLUMN(),FALSE),"")</f>
        <v/>
      </c>
      <c r="V81" t="str">
        <f>IF($C81&lt;&gt;"",VLOOKUP($C81,授業リスト!$A:$Z,COLUMN(),FALSE),"")</f>
        <v/>
      </c>
      <c r="W81">
        <f>IF($C81&lt;&gt;"",VLOOKUP($C81,授業リスト!$A:$Z,COLUMN(),FALSE),"")</f>
        <v>0</v>
      </c>
      <c r="X81">
        <f>IF($C81&lt;&gt;"",VLOOKUP($C81,授業リスト!$A:$Z,COLUMN(),FALSE),"")</f>
        <v>0</v>
      </c>
      <c r="Y81">
        <f>IF($C81&lt;&gt;"",VLOOKUP($C81,授業リスト!$A:$Z,COLUMN(),FALSE),"")</f>
        <v>0</v>
      </c>
      <c r="Z81">
        <f>IF($C81&lt;&gt;"",VLOOKUP($C81,授業リスト!$A:$Z,COLUMN(),FALSE),"")</f>
        <v>0</v>
      </c>
    </row>
    <row r="82" spans="1:26" ht="17">
      <c r="A82">
        <v>4</v>
      </c>
      <c r="B82" t="s">
        <v>47</v>
      </c>
      <c r="C82" s="87">
        <v>37480</v>
      </c>
      <c r="D82" t="str">
        <f>IF($C82&lt;&gt;"",VLOOKUP($C82,授業リスト!$A:$J,2,FALSE),"")</f>
        <v>English Communication Studies Exercises II</v>
      </c>
      <c r="E82">
        <f>IF($C82&lt;&gt;"",VLOOKUP($C82,授業リスト!$A:$J,3,FALSE),"")</f>
        <v>0</v>
      </c>
      <c r="F82" t="str">
        <f>IF($C82&lt;&gt;"",VLOOKUP($C82,授業リスト!$A:$J,8,FALSE),"")</f>
        <v>Alexander Graham Bell</v>
      </c>
      <c r="G82">
        <f>IF($C82&lt;&gt;"",VLOOKUP($C82,授業リスト!$A:$J,4,FALSE),"")</f>
        <v>2</v>
      </c>
      <c r="H82" t="str">
        <f>IF($C82&lt;&gt;"",VLOOKUP($C82,授業リスト!$A:$J,5,FALSE),"")</f>
        <v>後</v>
      </c>
      <c r="I82" t="str">
        <f>IF($C82&lt;&gt;"",VLOOKUP($C82,授業リスト!$A:$J,6,FALSE),"")</f>
        <v>火</v>
      </c>
      <c r="J82">
        <f>IF($C82&lt;&gt;"",VLOOKUP($C82,授業リスト!$A:$J,7,FALSE),"")</f>
        <v>4</v>
      </c>
      <c r="K82" s="30" t="str">
        <f>IF($C82&lt;&gt;"",VLOOKUP($C82,授業リスト!$A:$J,9,FALSE),"")</f>
        <v>3～4</v>
      </c>
      <c r="N82" t="str">
        <f>IF($C82&lt;&gt;"",VLOOKUP($C82,授業リスト!$A:$Z,COLUMN(),FALSE),"")</f>
        <v/>
      </c>
      <c r="O82" t="str">
        <f>IF($C82&lt;&gt;"",VLOOKUP($C82,授業リスト!$A:$Z,COLUMN(),FALSE),"")</f>
        <v>Y</v>
      </c>
      <c r="P82" t="str">
        <f>IF($C82&lt;&gt;"",VLOOKUP($C82,授業リスト!$A:$Z,COLUMN(),FALSE),"")</f>
        <v/>
      </c>
      <c r="Q82" t="str">
        <f>IF($C82&lt;&gt;"",VLOOKUP($C82,授業リスト!$A:$Z,COLUMN(),FALSE),"")</f>
        <v/>
      </c>
      <c r="R82" t="str">
        <f>IF($C82&lt;&gt;"",VLOOKUP($C82,授業リスト!$A:$Z,COLUMN(),FALSE),"")</f>
        <v/>
      </c>
      <c r="S82" t="str">
        <f>IF($C82&lt;&gt;"",VLOOKUP($C82,授業リスト!$A:$Z,COLUMN(),FALSE),"")</f>
        <v/>
      </c>
      <c r="T82" t="str">
        <f>IF($C82&lt;&gt;"",VLOOKUP($C82,授業リスト!$A:$Z,COLUMN(),FALSE),"")</f>
        <v/>
      </c>
      <c r="U82" t="str">
        <f>IF($C82&lt;&gt;"",VLOOKUP($C82,授業リスト!$A:$Z,COLUMN(),FALSE),"")</f>
        <v/>
      </c>
      <c r="V82" t="str">
        <f>IF($C82&lt;&gt;"",VLOOKUP($C82,授業リスト!$A:$Z,COLUMN(),FALSE),"")</f>
        <v/>
      </c>
      <c r="W82">
        <f>IF($C82&lt;&gt;"",VLOOKUP($C82,授業リスト!$A:$Z,COLUMN(),FALSE),"")</f>
        <v>0</v>
      </c>
      <c r="X82">
        <f>IF($C82&lt;&gt;"",VLOOKUP($C82,授業リスト!$A:$Z,COLUMN(),FALSE),"")</f>
        <v>0</v>
      </c>
      <c r="Y82">
        <f>IF($C82&lt;&gt;"",VLOOKUP($C82,授業リスト!$A:$Z,COLUMN(),FALSE),"")</f>
        <v>0</v>
      </c>
      <c r="Z82">
        <f>IF($C82&lt;&gt;"",VLOOKUP($C82,授業リスト!$A:$Z,COLUMN(),FALSE),"")</f>
        <v>0</v>
      </c>
    </row>
  </sheetData>
  <dataConsolidate/>
  <phoneticPr fontId="6"/>
  <conditionalFormatting sqref="H75:H78 H59:H66 H35:H46 H2:H17">
    <cfRule type="containsText" dxfId="40" priority="8" operator="containsText" text="後">
      <formula>NOT(ISERROR(SEARCH("後",H2)))</formula>
    </cfRule>
  </conditionalFormatting>
  <conditionalFormatting sqref="H79:H82 H67:H74 H47:H58 H18:H34">
    <cfRule type="containsText" dxfId="39" priority="7" operator="containsText" text="前">
      <formula>NOT(ISERROR(SEARCH("前",H18)))</formula>
    </cfRule>
  </conditionalFormatting>
  <pageMargins left="0.7" right="0.7" top="0.75" bottom="0.75" header="0.3" footer="0.3"/>
  <pageSetup paperSize="9" scale="79" orientation="portrait" horizontalDpi="4294967292" verticalDpi="4294967292"/>
  <colBreaks count="1" manualBreakCount="1">
    <brk id="1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18"/>
  <sheetViews>
    <sheetView workbookViewId="0">
      <selection activeCell="E11" sqref="E11"/>
    </sheetView>
  </sheetViews>
  <sheetFormatPr baseColWidth="10" defaultColWidth="13" defaultRowHeight="16"/>
  <cols>
    <col min="2" max="2" width="22.1640625" bestFit="1" customWidth="1"/>
  </cols>
  <sheetData>
    <row r="1" spans="1:5">
      <c r="A1" t="s">
        <v>15</v>
      </c>
      <c r="B1" t="s">
        <v>28</v>
      </c>
      <c r="C1" t="s">
        <v>135</v>
      </c>
      <c r="D1" t="s">
        <v>344</v>
      </c>
      <c r="E1" t="s">
        <v>350</v>
      </c>
    </row>
    <row r="2" spans="1:5">
      <c r="A2" t="s">
        <v>9</v>
      </c>
      <c r="B2" t="s">
        <v>29</v>
      </c>
    </row>
    <row r="3" spans="1:5">
      <c r="A3" t="s">
        <v>10</v>
      </c>
      <c r="B3" t="s">
        <v>12</v>
      </c>
      <c r="C3" t="s">
        <v>93</v>
      </c>
      <c r="D3" t="s">
        <v>345</v>
      </c>
      <c r="E3" t="s">
        <v>352</v>
      </c>
    </row>
    <row r="4" spans="1:5">
      <c r="A4" t="s">
        <v>10</v>
      </c>
      <c r="B4" t="s">
        <v>13</v>
      </c>
      <c r="C4" t="s">
        <v>71</v>
      </c>
    </row>
    <row r="5" spans="1:5">
      <c r="A5" t="s">
        <v>10</v>
      </c>
      <c r="B5" t="s">
        <v>14</v>
      </c>
      <c r="C5" t="s">
        <v>71</v>
      </c>
    </row>
    <row r="6" spans="1:5">
      <c r="A6" t="s">
        <v>10</v>
      </c>
      <c r="B6" t="s">
        <v>16</v>
      </c>
      <c r="C6" t="s">
        <v>79</v>
      </c>
      <c r="D6" t="s">
        <v>193</v>
      </c>
      <c r="E6" t="s">
        <v>351</v>
      </c>
    </row>
    <row r="7" spans="1:5">
      <c r="A7" t="s">
        <v>10</v>
      </c>
      <c r="B7" t="s">
        <v>17</v>
      </c>
      <c r="C7" t="s">
        <v>79</v>
      </c>
      <c r="D7" t="s">
        <v>193</v>
      </c>
      <c r="E7" t="s">
        <v>351</v>
      </c>
    </row>
    <row r="8" spans="1:5">
      <c r="A8" t="s">
        <v>10</v>
      </c>
      <c r="B8" t="s">
        <v>18</v>
      </c>
      <c r="C8" t="s">
        <v>73</v>
      </c>
      <c r="D8" t="s">
        <v>346</v>
      </c>
      <c r="E8" t="s">
        <v>353</v>
      </c>
    </row>
    <row r="9" spans="1:5">
      <c r="A9" t="s">
        <v>10</v>
      </c>
      <c r="B9" t="s">
        <v>19</v>
      </c>
      <c r="C9" t="s">
        <v>73</v>
      </c>
      <c r="D9" t="s">
        <v>346</v>
      </c>
    </row>
    <row r="10" spans="1:5">
      <c r="A10" t="s">
        <v>10</v>
      </c>
      <c r="B10" t="s">
        <v>20</v>
      </c>
      <c r="C10" t="s">
        <v>74</v>
      </c>
    </row>
    <row r="11" spans="1:5">
      <c r="A11" t="s">
        <v>10</v>
      </c>
      <c r="B11" t="s">
        <v>21</v>
      </c>
      <c r="C11" t="s">
        <v>74</v>
      </c>
    </row>
    <row r="12" spans="1:5">
      <c r="A12" t="s">
        <v>10</v>
      </c>
      <c r="B12" t="s">
        <v>22</v>
      </c>
      <c r="C12" t="s">
        <v>75</v>
      </c>
      <c r="D12" t="s">
        <v>347</v>
      </c>
      <c r="E12" t="s">
        <v>354</v>
      </c>
    </row>
    <row r="13" spans="1:5">
      <c r="A13" t="s">
        <v>10</v>
      </c>
      <c r="B13" t="s">
        <v>23</v>
      </c>
      <c r="C13" t="s">
        <v>75</v>
      </c>
      <c r="D13" t="s">
        <v>347</v>
      </c>
    </row>
    <row r="14" spans="1:5">
      <c r="A14" t="s">
        <v>10</v>
      </c>
      <c r="B14" t="s">
        <v>24</v>
      </c>
      <c r="C14" t="s">
        <v>76</v>
      </c>
    </row>
    <row r="15" spans="1:5">
      <c r="A15" t="s">
        <v>10</v>
      </c>
      <c r="B15" t="s">
        <v>25</v>
      </c>
      <c r="C15" t="s">
        <v>76</v>
      </c>
    </row>
    <row r="16" spans="1:5">
      <c r="A16" t="s">
        <v>10</v>
      </c>
      <c r="B16" t="s">
        <v>26</v>
      </c>
      <c r="C16" t="s">
        <v>87</v>
      </c>
    </row>
    <row r="17" spans="1:3">
      <c r="A17" t="s">
        <v>10</v>
      </c>
      <c r="B17" t="s">
        <v>27</v>
      </c>
      <c r="C17" t="s">
        <v>87</v>
      </c>
    </row>
    <row r="18" spans="1:3">
      <c r="A18" t="s">
        <v>11</v>
      </c>
      <c r="B18" t="s">
        <v>30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AZ6"/>
  <sheetViews>
    <sheetView workbookViewId="0">
      <selection activeCell="F6" sqref="F6"/>
    </sheetView>
  </sheetViews>
  <sheetFormatPr baseColWidth="10" defaultColWidth="13" defaultRowHeight="16"/>
  <cols>
    <col min="1" max="1" width="21.5" bestFit="1" customWidth="1"/>
  </cols>
  <sheetData>
    <row r="1" spans="1:52" s="11" customFormat="1">
      <c r="A1" s="10" t="s">
        <v>42</v>
      </c>
      <c r="B1" s="10" t="s">
        <v>8</v>
      </c>
      <c r="C1" s="10" t="s">
        <v>41</v>
      </c>
      <c r="D1" s="10" t="s">
        <v>44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>
      <c r="A2" t="s">
        <v>53</v>
      </c>
      <c r="B2">
        <v>2</v>
      </c>
      <c r="C2">
        <v>8</v>
      </c>
      <c r="D2">
        <v>2</v>
      </c>
      <c r="E2" t="s">
        <v>257</v>
      </c>
      <c r="F2" s="23" t="s">
        <v>53</v>
      </c>
      <c r="G2" s="15" t="s">
        <v>54</v>
      </c>
      <c r="H2" s="23" t="s">
        <v>55</v>
      </c>
      <c r="I2" s="15" t="s">
        <v>56</v>
      </c>
      <c r="J2" s="15" t="s">
        <v>57</v>
      </c>
      <c r="K2" s="15" t="s">
        <v>58</v>
      </c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t="s">
        <v>52</v>
      </c>
      <c r="B3">
        <v>2</v>
      </c>
      <c r="C3">
        <v>1</v>
      </c>
      <c r="D3">
        <v>1</v>
      </c>
      <c r="E3" t="s">
        <v>258</v>
      </c>
      <c r="F3" s="23" t="s">
        <v>355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>
      <c r="A4" t="s">
        <v>50</v>
      </c>
      <c r="B4">
        <v>3</v>
      </c>
      <c r="C4">
        <v>1</v>
      </c>
      <c r="D4">
        <v>1</v>
      </c>
      <c r="E4" t="s">
        <v>258</v>
      </c>
      <c r="F4" s="23" t="s">
        <v>50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>
      <c r="A5" t="s">
        <v>49</v>
      </c>
      <c r="B5">
        <v>3</v>
      </c>
      <c r="C5">
        <v>4</v>
      </c>
      <c r="D5">
        <v>1</v>
      </c>
      <c r="E5" t="s">
        <v>257</v>
      </c>
      <c r="F5" s="64" t="s">
        <v>264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>
      <c r="A6" t="s">
        <v>61</v>
      </c>
      <c r="B6">
        <v>4</v>
      </c>
      <c r="C6">
        <v>2</v>
      </c>
      <c r="D6">
        <v>0</v>
      </c>
      <c r="E6" t="s">
        <v>257</v>
      </c>
      <c r="F6" s="18" t="s">
        <v>205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W272"/>
  <sheetViews>
    <sheetView tabSelected="1" zoomScale="119" zoomScaleNormal="119" workbookViewId="0">
      <pane ySplit="3" topLeftCell="A4" activePane="bottomLeft" state="frozenSplit"/>
      <selection pane="bottomLeft" activeCell="F3" sqref="F3"/>
    </sheetView>
  </sheetViews>
  <sheetFormatPr baseColWidth="10" defaultColWidth="8.83203125" defaultRowHeight="17"/>
  <cols>
    <col min="1" max="2" width="4.83203125" bestFit="1" customWidth="1"/>
    <col min="3" max="3" width="8.6640625" style="89" customWidth="1"/>
    <col min="4" max="4" width="42.1640625" customWidth="1"/>
    <col min="5" max="5" width="16.5" bestFit="1" customWidth="1"/>
    <col min="6" max="6" width="15.33203125" customWidth="1"/>
    <col min="7" max="7" width="4.83203125" bestFit="1" customWidth="1"/>
    <col min="8" max="8" width="6.83203125" customWidth="1"/>
    <col min="9" max="9" width="6.83203125" bestFit="1" customWidth="1"/>
    <col min="10" max="10" width="4.83203125" bestFit="1" customWidth="1"/>
    <col min="22" max="22" width="11" bestFit="1" customWidth="1"/>
  </cols>
  <sheetData>
    <row r="1" spans="1:23" ht="16">
      <c r="A1" s="101" t="s">
        <v>1120</v>
      </c>
      <c r="B1" s="101"/>
      <c r="C1" s="101"/>
      <c r="D1" s="35"/>
      <c r="E1" s="27" t="s">
        <v>1121</v>
      </c>
      <c r="F1" s="81"/>
      <c r="G1" s="27" t="s">
        <v>1122</v>
      </c>
      <c r="H1" s="27"/>
      <c r="I1" s="28" t="s">
        <v>655</v>
      </c>
      <c r="J1" s="101" t="s">
        <v>1116</v>
      </c>
      <c r="K1" s="101"/>
      <c r="L1" s="12" t="s">
        <v>411</v>
      </c>
      <c r="N1" t="str">
        <f>VLOOKUP(L1,専攻一覧!B3:C17,2,FALSE)</f>
        <v>C</v>
      </c>
      <c r="O1" s="101" t="s">
        <v>1117</v>
      </c>
      <c r="P1" s="101"/>
      <c r="Q1" s="27" t="s">
        <v>258</v>
      </c>
      <c r="S1" s="27" t="s">
        <v>1124</v>
      </c>
      <c r="T1" s="27" t="s">
        <v>258</v>
      </c>
      <c r="V1" s="44" t="s">
        <v>207</v>
      </c>
      <c r="W1" s="12" t="s">
        <v>247</v>
      </c>
    </row>
    <row r="2" spans="1:23" ht="16">
      <c r="A2" s="27" t="s">
        <v>1119</v>
      </c>
      <c r="B2" s="27"/>
      <c r="C2" s="82"/>
      <c r="D2" s="27" t="s">
        <v>258</v>
      </c>
      <c r="E2" s="27" t="s">
        <v>1114</v>
      </c>
      <c r="F2" s="27" t="s">
        <v>258</v>
      </c>
      <c r="G2" s="27" t="s">
        <v>1118</v>
      </c>
      <c r="H2" s="27"/>
      <c r="I2" s="27"/>
      <c r="J2" s="27"/>
      <c r="K2" s="27" t="s">
        <v>258</v>
      </c>
      <c r="L2" s="27" t="s">
        <v>1115</v>
      </c>
      <c r="M2" s="27"/>
      <c r="N2" s="29" t="s">
        <v>200</v>
      </c>
      <c r="O2" s="101" t="s">
        <v>1116</v>
      </c>
      <c r="P2" s="101"/>
      <c r="Q2" s="27" t="s">
        <v>258</v>
      </c>
      <c r="S2" s="27" t="s">
        <v>1123</v>
      </c>
      <c r="T2" s="27">
        <f>SUM('1Screen'!$G$4:$G$250)</f>
        <v>152</v>
      </c>
      <c r="V2" t="s">
        <v>1125</v>
      </c>
      <c r="W2" s="27" t="s">
        <v>257</v>
      </c>
    </row>
    <row r="3" spans="1:23" ht="35">
      <c r="A3" s="5" t="s">
        <v>45</v>
      </c>
      <c r="B3" s="5" t="s">
        <v>46</v>
      </c>
      <c r="C3" s="83" t="s">
        <v>155</v>
      </c>
      <c r="D3" s="5" t="s">
        <v>1</v>
      </c>
      <c r="E3" s="5" t="s">
        <v>135</v>
      </c>
      <c r="F3" s="5" t="s">
        <v>6</v>
      </c>
      <c r="G3" s="5" t="s">
        <v>2</v>
      </c>
      <c r="H3" s="5" t="s">
        <v>3</v>
      </c>
      <c r="I3" s="5" t="s">
        <v>4</v>
      </c>
      <c r="J3" s="5" t="s">
        <v>5</v>
      </c>
      <c r="K3" s="5" t="s">
        <v>7</v>
      </c>
    </row>
    <row r="4" spans="1:23" ht="18" customHeight="1">
      <c r="A4" s="37">
        <v>1</v>
      </c>
      <c r="B4" s="37" t="s">
        <v>69</v>
      </c>
      <c r="C4" s="84">
        <v>37006</v>
      </c>
      <c r="D4" s="37" t="str">
        <f>IF($C4&lt;&gt;"",VLOOKUP($C4,授業リスト!$A:$J,2,FALSE),"")</f>
        <v>Sport and Wellness I</v>
      </c>
      <c r="E4" s="37" t="str">
        <f>IF($C4&lt;&gt;"",VLOOKUP($C4,授業リスト!$A:$J,3,FALSE),"")</f>
        <v>CH3</v>
      </c>
      <c r="F4" s="37" t="str">
        <f>IF($C4&lt;&gt;"",VLOOKUP($C4,授業リスト!$A:$J,8,FALSE),"")</f>
        <v>Emily Dickinson</v>
      </c>
      <c r="G4" s="37">
        <f>IF($C4&lt;&gt;"",VLOOKUP($C4,授業リスト!$A:$J,4,FALSE),"")</f>
        <v>1</v>
      </c>
      <c r="H4" s="37" t="str">
        <f>IF($C4&lt;&gt;"",VLOOKUP($C4,授業リスト!$A:$J,5,FALSE),"")</f>
        <v>前</v>
      </c>
      <c r="I4" s="37" t="str">
        <f>IF($C4&lt;&gt;"",VLOOKUP($C4,授業リスト!$A:$J,6,FALSE),"")</f>
        <v>月</v>
      </c>
      <c r="J4" s="37">
        <f>IF($C4&lt;&gt;"",VLOOKUP($C4,授業リスト!$A:$J,7,FALSE),"")</f>
        <v>3</v>
      </c>
      <c r="K4" s="38">
        <f>IF($C4&lt;&gt;"",VLOOKUP($C4,授業リスト!$A:$J,9,FALSE),"")</f>
        <v>1</v>
      </c>
      <c r="L4" s="2"/>
      <c r="M4" s="3" t="s">
        <v>1156</v>
      </c>
      <c r="N4" s="95" t="s">
        <v>1155</v>
      </c>
      <c r="O4" s="3" t="s">
        <v>1157</v>
      </c>
      <c r="P4" s="3" t="s">
        <v>1158</v>
      </c>
      <c r="Q4" s="3" t="s">
        <v>1159</v>
      </c>
      <c r="R4" s="2"/>
    </row>
    <row r="5" spans="1:23" ht="18" customHeight="1">
      <c r="A5" s="37">
        <v>1</v>
      </c>
      <c r="B5" s="37" t="s">
        <v>69</v>
      </c>
      <c r="C5" s="84">
        <v>37022</v>
      </c>
      <c r="D5" s="37" t="str">
        <f>IF($C5&lt;&gt;"",VLOOKUP($C5,授業リスト!$A:$J,2,FALSE),"")</f>
        <v>Computer Literacy</v>
      </c>
      <c r="E5" s="37" t="str">
        <f>IF($C5&lt;&gt;"",VLOOKUP($C5,授業リスト!$A:$J,3,FALSE),"")</f>
        <v>C</v>
      </c>
      <c r="F5" s="37" t="str">
        <f>IF($C5&lt;&gt;"",VLOOKUP($C5,授業リスト!$A:$J,8,FALSE),"")</f>
        <v>Emily Brontë</v>
      </c>
      <c r="G5" s="37">
        <f>IF($C5&lt;&gt;"",VLOOKUP($C5,授業リスト!$A:$J,4,FALSE),"")</f>
        <v>2</v>
      </c>
      <c r="H5" s="37" t="str">
        <f>IF($C5&lt;&gt;"",VLOOKUP($C5,授業リスト!$A:$J,5,FALSE),"")</f>
        <v>前</v>
      </c>
      <c r="I5" s="37" t="str">
        <f>IF($C5&lt;&gt;"",VLOOKUP($C5,授業リスト!$A:$J,6,FALSE),"")</f>
        <v>水</v>
      </c>
      <c r="J5" s="37">
        <f>IF($C5&lt;&gt;"",VLOOKUP($C5,授業リスト!$A:$J,7,FALSE),"")</f>
        <v>3</v>
      </c>
      <c r="K5" s="38">
        <f>IF($C5&lt;&gt;"",VLOOKUP($C5,授業リスト!$A:$J,9,FALSE),"")</f>
        <v>1</v>
      </c>
      <c r="L5" s="4">
        <v>1</v>
      </c>
      <c r="M5" s="34"/>
      <c r="N5" s="34" t="s">
        <v>634</v>
      </c>
      <c r="O5" s="34" t="s">
        <v>568</v>
      </c>
      <c r="P5" s="34" t="s">
        <v>623</v>
      </c>
      <c r="Q5" s="34" t="s">
        <v>744</v>
      </c>
      <c r="R5" s="2"/>
    </row>
    <row r="6" spans="1:23" ht="18" customHeight="1">
      <c r="A6" s="37">
        <v>1</v>
      </c>
      <c r="B6" s="37" t="s">
        <v>69</v>
      </c>
      <c r="C6" s="84">
        <v>37039</v>
      </c>
      <c r="D6" s="37" t="str">
        <f>IF($C6&lt;&gt;"",VLOOKUP($C6,授業リスト!$A:$J,2,FALSE),"")</f>
        <v>English I</v>
      </c>
      <c r="E6" s="37" t="str">
        <f>IF($C6&lt;&gt;"",VLOOKUP($C6,授業リスト!$A:$J,3,FALSE),"")</f>
        <v>h</v>
      </c>
      <c r="F6" s="37" t="str">
        <f>IF($C6&lt;&gt;"",VLOOKUP($C6,授業リスト!$A:$J,8,FALSE),"")</f>
        <v>Antoine de Saint-Exupéry</v>
      </c>
      <c r="G6" s="37">
        <f>IF($C6&lt;&gt;"",VLOOKUP($C6,授業リスト!$A:$J,4,FALSE),"")</f>
        <v>1</v>
      </c>
      <c r="H6" s="37" t="str">
        <f>IF($C6&lt;&gt;"",VLOOKUP($C6,授業リスト!$A:$J,5,FALSE),"")</f>
        <v>前</v>
      </c>
      <c r="I6" s="37" t="str">
        <f>IF($C6&lt;&gt;"",VLOOKUP($C6,授業リスト!$A:$J,6,FALSE),"")</f>
        <v>水</v>
      </c>
      <c r="J6" s="37">
        <f>IF($C6&lt;&gt;"",VLOOKUP($C6,授業リスト!$A:$J,7,FALSE),"")</f>
        <v>1</v>
      </c>
      <c r="K6" s="38">
        <f>IF($C6&lt;&gt;"",VLOOKUP($C6,授業リスト!$A:$J,9,FALSE),"")</f>
        <v>1</v>
      </c>
      <c r="L6" s="4">
        <v>2</v>
      </c>
      <c r="M6" s="34"/>
      <c r="N6" s="34" t="s">
        <v>622</v>
      </c>
      <c r="O6" s="34" t="s">
        <v>624</v>
      </c>
      <c r="P6" s="34" t="s">
        <v>569</v>
      </c>
      <c r="Q6" s="34" t="s">
        <v>744</v>
      </c>
      <c r="R6" s="2"/>
    </row>
    <row r="7" spans="1:23" ht="18" customHeight="1">
      <c r="A7" s="37">
        <v>1</v>
      </c>
      <c r="B7" s="37" t="s">
        <v>69</v>
      </c>
      <c r="C7" s="84">
        <v>37047</v>
      </c>
      <c r="D7" s="37" t="str">
        <f>IF($C7&lt;&gt;"",VLOOKUP($C7,授業リスト!$A:$J,2,FALSE),"")</f>
        <v>English II</v>
      </c>
      <c r="E7" s="37" t="str">
        <f>IF($C7&lt;&gt;"",VLOOKUP($C7,授業リスト!$A:$J,3,FALSE),"")</f>
        <v>h</v>
      </c>
      <c r="F7" s="37" t="str">
        <f>IF($C7&lt;&gt;"",VLOOKUP($C7,授業リスト!$A:$J,8,FALSE),"")</f>
        <v>John Milton</v>
      </c>
      <c r="G7" s="37">
        <f>IF($C7&lt;&gt;"",VLOOKUP($C7,授業リスト!$A:$J,4,FALSE),"")</f>
        <v>1</v>
      </c>
      <c r="H7" s="37" t="str">
        <f>IF($C7&lt;&gt;"",VLOOKUP($C7,授業リスト!$A:$J,5,FALSE),"")</f>
        <v>前</v>
      </c>
      <c r="I7" s="37" t="str">
        <f>IF($C7&lt;&gt;"",VLOOKUP($C7,授業リスト!$A:$J,6,FALSE),"")</f>
        <v>木</v>
      </c>
      <c r="J7" s="37">
        <f>IF($C7&lt;&gt;"",VLOOKUP($C7,授業リスト!$A:$J,7,FALSE),"")</f>
        <v>2</v>
      </c>
      <c r="K7" s="38">
        <f>IF($C7&lt;&gt;"",VLOOKUP($C7,授業リスト!$A:$J,9,FALSE),"")</f>
        <v>1</v>
      </c>
      <c r="L7" s="4">
        <v>3</v>
      </c>
      <c r="M7" s="34" t="s">
        <v>564</v>
      </c>
      <c r="N7" s="34"/>
      <c r="O7" s="34" t="s">
        <v>566</v>
      </c>
      <c r="P7" s="34" t="s">
        <v>691</v>
      </c>
      <c r="Q7" s="34"/>
      <c r="R7" s="2"/>
    </row>
    <row r="8" spans="1:23" ht="18" customHeight="1">
      <c r="A8" s="37">
        <v>1</v>
      </c>
      <c r="B8" s="37" t="s">
        <v>69</v>
      </c>
      <c r="C8" s="84">
        <v>37067</v>
      </c>
      <c r="D8" s="37" t="str">
        <f>IF($C8&lt;&gt;"",VLOOKUP($C8,授業リスト!$A:$J,2,FALSE),"")</f>
        <v>English Communication I</v>
      </c>
      <c r="E8" s="37" t="str">
        <f>IF($C8&lt;&gt;"",VLOOKUP($C8,授業リスト!$A:$J,3,FALSE),"")</f>
        <v>C</v>
      </c>
      <c r="F8" s="37" t="str">
        <f>IF($C8&lt;&gt;"",VLOOKUP($C8,授業リスト!$A:$J,8,FALSE),"")</f>
        <v>Charles Darwin</v>
      </c>
      <c r="G8" s="37">
        <f>IF($C8&lt;&gt;"",VLOOKUP($C8,授業リスト!$A:$J,4,FALSE),"")</f>
        <v>1</v>
      </c>
      <c r="H8" s="37" t="str">
        <f>IF($C8&lt;&gt;"",VLOOKUP($C8,授業リスト!$A:$J,5,FALSE),"")</f>
        <v>前</v>
      </c>
      <c r="I8" s="37" t="str">
        <f>IF($C8&lt;&gt;"",VLOOKUP($C8,授業リスト!$A:$J,6,FALSE),"")</f>
        <v>火</v>
      </c>
      <c r="J8" s="37">
        <f>IF($C8&lt;&gt;"",VLOOKUP($C8,授業リスト!$A:$J,7,FALSE),"")</f>
        <v>2</v>
      </c>
      <c r="K8" s="38">
        <f>IF($C8&lt;&gt;"",VLOOKUP($C8,授業リスト!$A:$J,9,FALSE),"")</f>
        <v>1</v>
      </c>
      <c r="L8" s="4">
        <v>4</v>
      </c>
      <c r="M8" s="34" t="s">
        <v>402</v>
      </c>
      <c r="N8" s="34" t="s">
        <v>398</v>
      </c>
      <c r="O8" s="34" t="s">
        <v>911</v>
      </c>
      <c r="P8" s="34" t="s">
        <v>622</v>
      </c>
      <c r="Q8" s="34"/>
      <c r="R8" s="2"/>
    </row>
    <row r="9" spans="1:23" ht="18" customHeight="1">
      <c r="A9" s="37">
        <v>1</v>
      </c>
      <c r="B9" s="37" t="s">
        <v>69</v>
      </c>
      <c r="C9" s="84">
        <v>37087</v>
      </c>
      <c r="D9" s="37" t="str">
        <f>IF($C9&lt;&gt;"",VLOOKUP($C9,授業リスト!$A:$J,2,FALSE),"")</f>
        <v>Academic Skills</v>
      </c>
      <c r="E9" s="37" t="str">
        <f>IF($C9&lt;&gt;"",VLOOKUP($C9,授業リスト!$A:$J,3,FALSE),"")</f>
        <v>C</v>
      </c>
      <c r="F9" s="37" t="str">
        <f>IF($C9&lt;&gt;"",VLOOKUP($C9,授業リスト!$A:$J,8,FALSE),"")</f>
        <v>John Locke</v>
      </c>
      <c r="G9" s="37">
        <f>IF($C9&lt;&gt;"",VLOOKUP($C9,授業リスト!$A:$J,4,FALSE),"")</f>
        <v>2</v>
      </c>
      <c r="H9" s="37" t="str">
        <f>IF($C9&lt;&gt;"",VLOOKUP($C9,授業リスト!$A:$J,5,FALSE),"")</f>
        <v>前</v>
      </c>
      <c r="I9" s="37" t="str">
        <f>IF($C9&lt;&gt;"",VLOOKUP($C9,授業リスト!$A:$J,6,FALSE),"")</f>
        <v>水</v>
      </c>
      <c r="J9" s="37">
        <f>IF($C9&lt;&gt;"",VLOOKUP($C9,授業リスト!$A:$J,7,FALSE),"")</f>
        <v>2</v>
      </c>
      <c r="K9" s="38">
        <f>IF($C9&lt;&gt;"",VLOOKUP($C9,授業リスト!$A:$J,9,FALSE),"")</f>
        <v>1</v>
      </c>
      <c r="L9" s="4">
        <v>5</v>
      </c>
      <c r="M9" s="34"/>
      <c r="N9" s="34" t="s">
        <v>653</v>
      </c>
      <c r="O9" s="34"/>
      <c r="P9" s="34"/>
      <c r="Q9" s="34"/>
      <c r="R9" s="2"/>
    </row>
    <row r="10" spans="1:23" ht="18" customHeight="1">
      <c r="A10" s="37">
        <v>1</v>
      </c>
      <c r="B10" s="37" t="s">
        <v>69</v>
      </c>
      <c r="C10" s="84">
        <v>37135</v>
      </c>
      <c r="D10" s="37" t="str">
        <f>IF($C10&lt;&gt;"",VLOOKUP($C10,授業リスト!$A:$J,2,FALSE),"")</f>
        <v>Korean I</v>
      </c>
      <c r="E10" s="37" t="str">
        <f>IF($C10&lt;&gt;"",VLOOKUP($C10,授業リスト!$A:$J,3,FALSE),"")</f>
        <v/>
      </c>
      <c r="F10" s="37" t="str">
        <f>IF($C10&lt;&gt;"",VLOOKUP($C10,授業リスト!$A:$J,8,FALSE),"")</f>
        <v>Johann Sebastian Bach</v>
      </c>
      <c r="G10" s="37">
        <f>IF($C10&lt;&gt;"",VLOOKUP($C10,授業リスト!$A:$J,4,FALSE),"")</f>
        <v>2</v>
      </c>
      <c r="H10" s="37" t="str">
        <f>IF($C10&lt;&gt;"",VLOOKUP($C10,授業リスト!$A:$J,5,FALSE),"")</f>
        <v>前</v>
      </c>
      <c r="I10" s="37" t="str">
        <f>IF($C10&lt;&gt;"",VLOOKUP($C10,授業リスト!$A:$J,6,FALSE),"")</f>
        <v>火</v>
      </c>
      <c r="J10" s="37">
        <f>IF($C10&lt;&gt;"",VLOOKUP($C10,授業リスト!$A:$J,7,FALSE),"")</f>
        <v>1</v>
      </c>
      <c r="K10" s="38" t="str">
        <f>IF($C10&lt;&gt;"",VLOOKUP($C10,授業リスト!$A:$J,9,FALSE),"")</f>
        <v>1～2</v>
      </c>
      <c r="L10" s="4">
        <v>6</v>
      </c>
      <c r="M10" s="34"/>
      <c r="N10" s="34"/>
      <c r="O10" s="34"/>
      <c r="P10" s="34"/>
      <c r="Q10" s="34"/>
      <c r="R10" s="2"/>
    </row>
    <row r="11" spans="1:23" ht="18" customHeight="1">
      <c r="A11" s="37">
        <v>1</v>
      </c>
      <c r="B11" s="37" t="s">
        <v>69</v>
      </c>
      <c r="C11" s="84"/>
      <c r="D11" s="37" t="str">
        <f>IF($C11&lt;&gt;"",VLOOKUP($C11,授業リスト!$A:$J,2,FALSE),"")</f>
        <v/>
      </c>
      <c r="E11" s="37" t="str">
        <f>IF($C11&lt;&gt;"",VLOOKUP($C11,授業リスト!$A:$J,3,FALSE),"")</f>
        <v/>
      </c>
      <c r="F11" s="37" t="str">
        <f>IF($C11&lt;&gt;"",VLOOKUP($C11,授業リスト!$A:$J,8,FALSE),"")</f>
        <v/>
      </c>
      <c r="G11" s="37" t="str">
        <f>IF($C11&lt;&gt;"",VLOOKUP($C11,授業リスト!$A:$J,4,FALSE),"")</f>
        <v/>
      </c>
      <c r="H11" s="37" t="str">
        <f>IF($C11&lt;&gt;"",VLOOKUP($C11,授業リスト!$A:$J,5,FALSE),"")</f>
        <v/>
      </c>
      <c r="I11" s="37" t="str">
        <f>IF($C11&lt;&gt;"",VLOOKUP($C11,授業リスト!$A:$J,6,FALSE),"")</f>
        <v/>
      </c>
      <c r="J11" s="37" t="str">
        <f>IF($C11&lt;&gt;"",VLOOKUP($C11,授業リスト!$A:$J,7,FALSE),"")</f>
        <v/>
      </c>
      <c r="K11" s="38" t="str">
        <f>IF($C11&lt;&gt;"",VLOOKUP($C11,授業リスト!$A:$J,9,FALSE),"")</f>
        <v/>
      </c>
      <c r="L11" s="4" t="s">
        <v>1160</v>
      </c>
      <c r="M11" s="102" t="s">
        <v>653</v>
      </c>
      <c r="N11" s="103"/>
      <c r="O11" s="103"/>
      <c r="P11" s="103"/>
      <c r="Q11" s="104"/>
      <c r="R11" s="2"/>
    </row>
    <row r="12" spans="1:23" ht="18" customHeight="1">
      <c r="A12" s="37">
        <v>1</v>
      </c>
      <c r="B12" s="37" t="s">
        <v>69</v>
      </c>
      <c r="C12" s="84">
        <v>37456</v>
      </c>
      <c r="D12" s="37" t="str">
        <f>IF($C12&lt;&gt;"",VLOOKUP($C12,授業リスト!$A:$J,2,FALSE),"")</f>
        <v>English Communication I</v>
      </c>
      <c r="E12" s="37">
        <f>IF($C12&lt;&gt;"",VLOOKUP($C12,授業リスト!$A:$J,3,FALSE),"")</f>
        <v>0</v>
      </c>
      <c r="F12" s="37" t="str">
        <f>IF($C12&lt;&gt;"",VLOOKUP($C12,授業リスト!$A:$J,8,FALSE),"")</f>
        <v>Sir Ernest Shackleton</v>
      </c>
      <c r="G12" s="37">
        <f>IF($C12&lt;&gt;"",VLOOKUP($C12,授業リスト!$A:$J,4,FALSE),"")</f>
        <v>2</v>
      </c>
      <c r="H12" s="37" t="str">
        <f>IF($C12&lt;&gt;"",VLOOKUP($C12,授業リスト!$A:$J,5,FALSE),"")</f>
        <v>前</v>
      </c>
      <c r="I12" s="37" t="str">
        <f>IF($C12&lt;&gt;"",VLOOKUP($C12,授業リスト!$A:$J,6,FALSE),"")</f>
        <v>木</v>
      </c>
      <c r="J12" s="37">
        <f>IF($C12&lt;&gt;"",VLOOKUP($C12,授業リスト!$A:$J,7,FALSE),"")</f>
        <v>4</v>
      </c>
      <c r="K12" s="38">
        <f>IF($C12&lt;&gt;"",VLOOKUP($C12,授業リスト!$A:$J,9,FALSE),"")</f>
        <v>1</v>
      </c>
      <c r="L12" s="15"/>
      <c r="M12" s="15"/>
      <c r="N12" s="15"/>
      <c r="O12" s="15"/>
      <c r="P12" s="15"/>
      <c r="Q12" s="15"/>
    </row>
    <row r="13" spans="1:23" ht="18" customHeight="1">
      <c r="A13" s="37">
        <v>1</v>
      </c>
      <c r="B13" s="37" t="s">
        <v>69</v>
      </c>
      <c r="C13" s="84"/>
      <c r="D13" s="37" t="str">
        <f>IF($C13&lt;&gt;"",VLOOKUP($C13,授業リスト!$A:$J,2,FALSE),"")</f>
        <v/>
      </c>
      <c r="E13" s="37" t="str">
        <f>IF($C13&lt;&gt;"",VLOOKUP($C13,授業リスト!$A:$J,3,FALSE),"")</f>
        <v/>
      </c>
      <c r="F13" s="37" t="str">
        <f>IF($C13&lt;&gt;"",VLOOKUP($C13,授業リスト!$A:$J,8,FALSE),"")</f>
        <v/>
      </c>
      <c r="G13" s="37" t="str">
        <f>IF($C13&lt;&gt;"",VLOOKUP($C13,授業リスト!$A:$J,4,FALSE),"")</f>
        <v/>
      </c>
      <c r="H13" s="37" t="str">
        <f>IF($C13&lt;&gt;"",VLOOKUP($C13,授業リスト!$A:$J,5,FALSE),"")</f>
        <v/>
      </c>
      <c r="I13" s="37" t="str">
        <f>IF($C13&lt;&gt;"",VLOOKUP($C13,授業リスト!$A:$J,6,FALSE),"")</f>
        <v/>
      </c>
      <c r="J13" s="37" t="str">
        <f>IF($C13&lt;&gt;"",VLOOKUP($C13,授業リスト!$A:$J,7,FALSE),"")</f>
        <v/>
      </c>
      <c r="K13" s="38" t="str">
        <f>IF($C13&lt;&gt;"",VLOOKUP($C13,授業リスト!$A:$J,9,FALSE),"")</f>
        <v/>
      </c>
      <c r="L13" s="15"/>
      <c r="M13" s="15"/>
      <c r="N13" s="15"/>
      <c r="O13" s="15"/>
      <c r="P13" s="15"/>
      <c r="Q13" s="15"/>
    </row>
    <row r="14" spans="1:23" ht="18" customHeight="1">
      <c r="A14" s="37">
        <v>1</v>
      </c>
      <c r="B14" s="37" t="s">
        <v>69</v>
      </c>
      <c r="C14" s="84"/>
      <c r="D14" s="37" t="str">
        <f>IF($C14&lt;&gt;"",VLOOKUP($C14,授業リスト!$A:$J,2,FALSE),"")</f>
        <v/>
      </c>
      <c r="E14" s="37" t="str">
        <f>IF($C14&lt;&gt;"",VLOOKUP($C14,授業リスト!$A:$J,3,FALSE),"")</f>
        <v/>
      </c>
      <c r="F14" s="37" t="str">
        <f>IF($C14&lt;&gt;"",VLOOKUP($C14,授業リスト!$A:$J,8,FALSE),"")</f>
        <v/>
      </c>
      <c r="G14" s="37" t="str">
        <f>IF($C14&lt;&gt;"",VLOOKUP($C14,授業リスト!$A:$J,4,FALSE),"")</f>
        <v/>
      </c>
      <c r="H14" s="37" t="str">
        <f>IF($C14&lt;&gt;"",VLOOKUP($C14,授業リスト!$A:$J,5,FALSE),"")</f>
        <v/>
      </c>
      <c r="I14" s="37" t="str">
        <f>IF($C14&lt;&gt;"",VLOOKUP($C14,授業リスト!$A:$J,6,FALSE),"")</f>
        <v/>
      </c>
      <c r="J14" s="37" t="str">
        <f>IF($C14&lt;&gt;"",VLOOKUP($C14,授業リスト!$A:$J,7,FALSE),"")</f>
        <v/>
      </c>
      <c r="K14" s="38" t="str">
        <f>IF($C14&lt;&gt;"",VLOOKUP($C14,授業リスト!$A:$J,9,FALSE),"")</f>
        <v/>
      </c>
      <c r="L14" s="15"/>
      <c r="M14" s="15"/>
      <c r="N14" s="15"/>
      <c r="O14" s="15"/>
      <c r="P14" s="15"/>
      <c r="Q14" s="15"/>
    </row>
    <row r="15" spans="1:23" ht="18" customHeight="1">
      <c r="A15" s="37">
        <v>1</v>
      </c>
      <c r="B15" s="37" t="s">
        <v>69</v>
      </c>
      <c r="C15" s="85">
        <v>38102</v>
      </c>
      <c r="D15" s="37" t="str">
        <f>IF($C15&lt;&gt;"",VLOOKUP($C15,授業リスト!$A:$J,2,FALSE),"")</f>
        <v>School Education Practice and Reflection I</v>
      </c>
      <c r="E15" s="37">
        <f>IF($C15&lt;&gt;"",VLOOKUP($C15,授業リスト!$A:$J,3,FALSE),"")</f>
        <v>0</v>
      </c>
      <c r="F15" s="37" t="str">
        <f>IF($C15&lt;&gt;"",VLOOKUP($C15,授業リスト!$A:$J,8,FALSE),"")</f>
        <v>Johann Wolfgang von Goethe</v>
      </c>
      <c r="G15" s="37">
        <f>IF($C15&lt;&gt;"",VLOOKUP($C15,授業リスト!$A:$J,4,FALSE),"")</f>
        <v>2</v>
      </c>
      <c r="H15" s="37" t="str">
        <f>IF($C15&lt;&gt;"",VLOOKUP($C15,授業リスト!$A:$J,5,FALSE),"")</f>
        <v>通年</v>
      </c>
      <c r="I15" s="37" t="str">
        <f>IF($C15&lt;&gt;"",VLOOKUP($C15,授業リスト!$A:$J,6,FALSE),"")</f>
        <v>金</v>
      </c>
      <c r="J15" s="37" t="str">
        <f>IF($C15&lt;&gt;"",VLOOKUP($C15,授業リスト!$A:$J,7,FALSE),"")</f>
        <v>1-2</v>
      </c>
      <c r="K15" s="38">
        <f>IF($C15&lt;&gt;"",VLOOKUP($C15,授業リスト!$A:$J,9,FALSE),"")</f>
        <v>1</v>
      </c>
      <c r="L15" s="15"/>
      <c r="M15" s="15"/>
      <c r="N15" s="15"/>
      <c r="O15" s="15"/>
      <c r="P15" s="15"/>
      <c r="Q15" s="15"/>
    </row>
    <row r="16" spans="1:23" ht="18" customHeight="1">
      <c r="A16" s="37">
        <v>1</v>
      </c>
      <c r="B16" s="37" t="s">
        <v>69</v>
      </c>
      <c r="C16" s="84"/>
      <c r="D16" s="37" t="str">
        <f>IF($C16&lt;&gt;"",VLOOKUP($C16,授業リスト!$A:$J,2,FALSE),"")</f>
        <v/>
      </c>
      <c r="E16" s="37" t="str">
        <f>IF($C16&lt;&gt;"",VLOOKUP($C16,授業リスト!$A:$J,3,FALSE),"")</f>
        <v/>
      </c>
      <c r="F16" s="37" t="str">
        <f>IF($C16&lt;&gt;"",VLOOKUP($C16,授業リスト!$A:$J,8,FALSE),"")</f>
        <v/>
      </c>
      <c r="G16" s="37" t="str">
        <f>IF($C16&lt;&gt;"",VLOOKUP($C16,授業リスト!$A:$J,4,FALSE),"")</f>
        <v/>
      </c>
      <c r="H16" s="37" t="str">
        <f>IF($C16&lt;&gt;"",VLOOKUP($C16,授業リスト!$A:$J,5,FALSE),"")</f>
        <v/>
      </c>
      <c r="I16" s="37" t="str">
        <f>IF($C16&lt;&gt;"",VLOOKUP($C16,授業リスト!$A:$J,6,FALSE),"")</f>
        <v/>
      </c>
      <c r="J16" s="37" t="str">
        <f>IF($C16&lt;&gt;"",VLOOKUP($C16,授業リスト!$A:$J,7,FALSE),"")</f>
        <v/>
      </c>
      <c r="K16" s="38" t="str">
        <f>IF($C16&lt;&gt;"",VLOOKUP($C16,授業リスト!$A:$J,9,FALSE),"")</f>
        <v/>
      </c>
      <c r="L16" s="15"/>
      <c r="M16" s="15"/>
      <c r="N16" s="15"/>
      <c r="O16" s="15"/>
      <c r="P16" s="15"/>
      <c r="Q16" s="15"/>
    </row>
    <row r="17" spans="1:18" ht="18" customHeight="1">
      <c r="A17" s="37">
        <v>1</v>
      </c>
      <c r="B17" s="37" t="s">
        <v>69</v>
      </c>
      <c r="C17" s="84">
        <v>37234</v>
      </c>
      <c r="D17" s="37" t="str">
        <f>IF($C17&lt;&gt;"",VLOOKUP($C17,授業リスト!$A:$J,2,FALSE),"")</f>
        <v>Pedagogy</v>
      </c>
      <c r="E17" s="37">
        <f>IF($C17&lt;&gt;"",VLOOKUP($C17,授業リスト!$A:$J,3,FALSE),"")</f>
        <v>0</v>
      </c>
      <c r="F17" s="37" t="str">
        <f>IF($C17&lt;&gt;"",VLOOKUP($C17,授業リスト!$A:$J,8,FALSE),"")</f>
        <v>Charles Dickens</v>
      </c>
      <c r="G17" s="37">
        <f>IF($C17&lt;&gt;"",VLOOKUP($C17,授業リスト!$A:$J,4,FALSE),"")</f>
        <v>2</v>
      </c>
      <c r="H17" s="37" t="str">
        <f>IF($C17&lt;&gt;"",VLOOKUP($C17,授業リスト!$A:$J,5,FALSE),"")</f>
        <v>前</v>
      </c>
      <c r="I17" s="37" t="str">
        <f>IF($C17&lt;&gt;"",VLOOKUP($C17,授業リスト!$A:$J,6,FALSE),"")</f>
        <v>木</v>
      </c>
      <c r="J17" s="37">
        <f>IF($C17&lt;&gt;"",VLOOKUP($C17,授業リスト!$A:$J,7,FALSE),"")</f>
        <v>3</v>
      </c>
      <c r="K17" s="38">
        <f>IF($C17&lt;&gt;"",VLOOKUP($C17,授業リスト!$A:$J,9,FALSE),"")</f>
        <v>1</v>
      </c>
      <c r="L17" s="15"/>
      <c r="M17" s="15"/>
      <c r="N17" s="15"/>
      <c r="O17" s="15"/>
      <c r="P17" s="15"/>
      <c r="Q17" s="15"/>
    </row>
    <row r="18" spans="1:18" ht="18" customHeight="1">
      <c r="A18" s="37">
        <v>1</v>
      </c>
      <c r="B18" s="37" t="s">
        <v>69</v>
      </c>
      <c r="C18" s="84"/>
      <c r="D18" s="37" t="str">
        <f>IF($C18&lt;&gt;"",VLOOKUP($C18,授業リスト!$A:$J,2,FALSE),"")</f>
        <v/>
      </c>
      <c r="E18" s="37" t="str">
        <f>IF($C18&lt;&gt;"",VLOOKUP($C18,授業リスト!$A:$J,3,FALSE),"")</f>
        <v/>
      </c>
      <c r="F18" s="37" t="str">
        <f>IF($C18&lt;&gt;"",VLOOKUP($C18,授業リスト!$A:$J,8,FALSE),"")</f>
        <v/>
      </c>
      <c r="G18" s="37" t="str">
        <f>IF($C18&lt;&gt;"",VLOOKUP($C18,授業リスト!$A:$J,4,FALSE),"")</f>
        <v/>
      </c>
      <c r="H18" s="37" t="str">
        <f>IF($C18&lt;&gt;"",VLOOKUP($C18,授業リスト!$A:$J,5,FALSE),"")</f>
        <v/>
      </c>
      <c r="I18" s="37" t="str">
        <f>IF($C18&lt;&gt;"",VLOOKUP($C18,授業リスト!$A:$J,6,FALSE),"")</f>
        <v/>
      </c>
      <c r="J18" s="37" t="str">
        <f>IF($C18&lt;&gt;"",VLOOKUP($C18,授業リスト!$A:$J,7,FALSE),"")</f>
        <v/>
      </c>
      <c r="K18" s="38" t="str">
        <f>IF($C18&lt;&gt;"",VLOOKUP($C18,授業リスト!$A:$J,9,FALSE),"")</f>
        <v/>
      </c>
      <c r="L18" s="15"/>
      <c r="M18" s="15"/>
      <c r="N18" s="15"/>
      <c r="O18" s="15"/>
      <c r="P18" s="15"/>
      <c r="Q18" s="15"/>
    </row>
    <row r="19" spans="1:18" ht="18" customHeight="1">
      <c r="A19" s="37">
        <v>1</v>
      </c>
      <c r="B19" s="37" t="s">
        <v>69</v>
      </c>
      <c r="C19" s="84">
        <v>37453</v>
      </c>
      <c r="D19" s="37" t="str">
        <f>IF($C19&lt;&gt;"",VLOOKUP($C19,授業リスト!$A:$J,2,FALSE),"")</f>
        <v>Introduction to English Literature I</v>
      </c>
      <c r="E19" s="37" t="str">
        <f>IF($C19&lt;&gt;"",VLOOKUP($C19,授業リスト!$A:$J,3,FALSE),"")</f>
        <v/>
      </c>
      <c r="F19" s="37" t="str">
        <f>IF($C19&lt;&gt;"",VLOOKUP($C19,授業リスト!$A:$J,8,FALSE),"")</f>
        <v>Wolfgang Amadeus Mozart</v>
      </c>
      <c r="G19" s="37">
        <f>IF($C19&lt;&gt;"",VLOOKUP($C19,授業リスト!$A:$J,4,FALSE),"")</f>
        <v>2</v>
      </c>
      <c r="H19" s="37" t="str">
        <f>IF($C19&lt;&gt;"",VLOOKUP($C19,授業リスト!$A:$J,5,FALSE),"")</f>
        <v>前</v>
      </c>
      <c r="I19" s="37" t="str">
        <f>IF($C19&lt;&gt;"",VLOOKUP($C19,授業リスト!$A:$J,6,FALSE),"")</f>
        <v>水</v>
      </c>
      <c r="J19" s="37">
        <f>IF($C19&lt;&gt;"",VLOOKUP($C19,授業リスト!$A:$J,7,FALSE),"")</f>
        <v>4</v>
      </c>
      <c r="K19" s="38">
        <f>IF($C19&lt;&gt;"",VLOOKUP($C19,授業リスト!$A:$J,9,FALSE),"")</f>
        <v>1</v>
      </c>
      <c r="L19" s="15"/>
      <c r="M19" s="15"/>
      <c r="N19" s="15"/>
      <c r="O19" s="15"/>
      <c r="P19" s="15"/>
      <c r="Q19" s="15"/>
    </row>
    <row r="20" spans="1:18" ht="18" customHeight="1">
      <c r="A20" s="37">
        <v>1</v>
      </c>
      <c r="B20" s="37" t="s">
        <v>69</v>
      </c>
      <c r="C20" s="85"/>
      <c r="D20" s="37" t="str">
        <f>IF($C20&lt;&gt;"",VLOOKUP($C20,授業リスト!$A:$J,2,FALSE),"")</f>
        <v/>
      </c>
      <c r="E20" s="37" t="str">
        <f>IF($C20&lt;&gt;"",VLOOKUP($C20,授業リスト!$A:$J,3,FALSE),"")</f>
        <v/>
      </c>
      <c r="F20" s="37" t="str">
        <f>IF($C20&lt;&gt;"",VLOOKUP($C20,授業リスト!$A:$J,8,FALSE),"")</f>
        <v/>
      </c>
      <c r="G20" s="37" t="str">
        <f>IF($C20&lt;&gt;"",VLOOKUP($C20,授業リスト!$A:$J,4,FALSE),"")</f>
        <v/>
      </c>
      <c r="H20" s="37" t="str">
        <f>IF($C20&lt;&gt;"",VLOOKUP($C20,授業リスト!$A:$J,5,FALSE),"")</f>
        <v/>
      </c>
      <c r="I20" s="37" t="str">
        <f>IF($C20&lt;&gt;"",VLOOKUP($C20,授業リスト!$A:$J,6,FALSE),"")</f>
        <v/>
      </c>
      <c r="J20" s="37" t="str">
        <f>IF($C20&lt;&gt;"",VLOOKUP($C20,授業リスト!$A:$J,7,FALSE),"")</f>
        <v/>
      </c>
      <c r="K20" s="38" t="str">
        <f>IF($C20&lt;&gt;"",VLOOKUP($C20,授業リスト!$A:$J,9,FALSE),"")</f>
        <v/>
      </c>
      <c r="L20" s="15"/>
      <c r="M20" s="15"/>
      <c r="N20" s="15"/>
      <c r="O20" s="15"/>
      <c r="P20" s="15"/>
      <c r="Q20" s="15"/>
    </row>
    <row r="21" spans="1:18" ht="18" customHeight="1">
      <c r="A21" s="37">
        <v>1</v>
      </c>
      <c r="B21" s="37" t="s">
        <v>69</v>
      </c>
      <c r="C21" s="85">
        <v>83001</v>
      </c>
      <c r="D21" s="37" t="str">
        <f>IF($C21&lt;&gt;"",VLOOKUP($C21,授業リスト!$A:$J,2,FALSE),"")</f>
        <v>Independent Study</v>
      </c>
      <c r="E21" s="37">
        <f>IF($C21&lt;&gt;"",VLOOKUP($C21,授業リスト!$A:$J,3,FALSE),"")</f>
        <v>0</v>
      </c>
      <c r="F21" s="37" t="str">
        <f>IF($C21&lt;&gt;"",VLOOKUP($C21,授業リスト!$A:$J,8,FALSE),"")</f>
        <v>Marie Antoinette</v>
      </c>
      <c r="G21" s="37">
        <f>IF($C21&lt;&gt;"",VLOOKUP($C21,授業リスト!$A:$J,4,FALSE),"")</f>
        <v>0</v>
      </c>
      <c r="H21" s="37" t="str">
        <f>IF($C21&lt;&gt;"",VLOOKUP($C21,授業リスト!$A:$J,5,FALSE),"")</f>
        <v>前</v>
      </c>
      <c r="I21" s="37" t="str">
        <f>IF($C21&lt;&gt;"",VLOOKUP($C21,授業リスト!$A:$J,6,FALSE),"")</f>
        <v>集中</v>
      </c>
      <c r="J21" s="37">
        <f>IF($C21&lt;&gt;"",VLOOKUP($C21,授業リスト!$A:$J,7,FALSE),"")</f>
        <v>0</v>
      </c>
      <c r="K21" s="38">
        <f>IF($C21&lt;&gt;"",VLOOKUP($C21,授業リスト!$A:$J,9,FALSE),"")</f>
        <v>1</v>
      </c>
      <c r="L21" s="15"/>
      <c r="M21" s="15"/>
      <c r="N21" s="15"/>
      <c r="O21" s="15"/>
      <c r="P21" s="15"/>
      <c r="Q21" s="15"/>
    </row>
    <row r="22" spans="1:18" ht="18" customHeight="1">
      <c r="A22" s="37">
        <v>1</v>
      </c>
      <c r="B22" s="37" t="s">
        <v>69</v>
      </c>
      <c r="C22" s="84">
        <v>38073</v>
      </c>
      <c r="D22" s="37" t="str">
        <f>IF($C22&lt;&gt;"",VLOOKUP($C22,授業リスト!$A:$J,2,FALSE),"")</f>
        <v>Presentation</v>
      </c>
      <c r="E22" s="37">
        <f>IF($C22&lt;&gt;"",VLOOKUP($C22,授業リスト!$A:$J,3,FALSE),"")</f>
        <v>0</v>
      </c>
      <c r="F22" s="37" t="str">
        <f>IF($C22&lt;&gt;"",VLOOKUP($C22,授業リスト!$A:$J,8,FALSE),"")</f>
        <v>Emily Brontë</v>
      </c>
      <c r="G22" s="37">
        <f>IF($C22&lt;&gt;"",VLOOKUP($C22,授業リスト!$A:$J,4,FALSE),"")</f>
        <v>2</v>
      </c>
      <c r="H22" s="37" t="str">
        <f>IF($C22&lt;&gt;"",VLOOKUP($C22,授業リスト!$A:$J,5,FALSE),"")</f>
        <v>前</v>
      </c>
      <c r="I22" s="37" t="str">
        <f>IF($C22&lt;&gt;"",VLOOKUP($C22,授業リスト!$A:$J,6,FALSE),"")</f>
        <v>火</v>
      </c>
      <c r="J22" s="37">
        <f>IF($C22&lt;&gt;"",VLOOKUP($C22,授業リスト!$A:$J,7,FALSE),"")</f>
        <v>4</v>
      </c>
      <c r="K22" s="38" t="str">
        <f>IF($C22&lt;&gt;"",VLOOKUP($C22,授業リスト!$A:$J,9,FALSE),"")</f>
        <v>1～4</v>
      </c>
      <c r="L22" s="15"/>
      <c r="M22" s="15"/>
      <c r="N22" s="15"/>
      <c r="O22" s="15"/>
      <c r="P22" s="15"/>
      <c r="Q22" s="15"/>
    </row>
    <row r="23" spans="1:18" ht="18" customHeight="1">
      <c r="A23" s="37">
        <v>1</v>
      </c>
      <c r="B23" s="37" t="s">
        <v>69</v>
      </c>
      <c r="C23" s="84">
        <v>38074</v>
      </c>
      <c r="D23" s="37" t="str">
        <f>IF($C23&lt;&gt;"",VLOOKUP($C23,授業リスト!$A:$J,2,FALSE),"")</f>
        <v>Business Communication &amp; IT</v>
      </c>
      <c r="E23" s="37">
        <f>IF($C23&lt;&gt;"",VLOOKUP($C23,授業リスト!$A:$J,3,FALSE),"")</f>
        <v>0</v>
      </c>
      <c r="F23" s="37" t="str">
        <f>IF($C23&lt;&gt;"",VLOOKUP($C23,授業リスト!$A:$J,8,FALSE),"")</f>
        <v>Leonardo da Vinci</v>
      </c>
      <c r="G23" s="37">
        <f>IF($C23&lt;&gt;"",VLOOKUP($C23,授業リスト!$A:$J,4,FALSE),"")</f>
        <v>2</v>
      </c>
      <c r="H23" s="37" t="str">
        <f>IF($C23&lt;&gt;"",VLOOKUP($C23,授業リスト!$A:$J,5,FALSE),"")</f>
        <v>前</v>
      </c>
      <c r="I23" s="37" t="str">
        <f>IF($C23&lt;&gt;"",VLOOKUP($C23,授業リスト!$A:$J,6,FALSE),"")</f>
        <v>月</v>
      </c>
      <c r="J23" s="37">
        <f>IF($C23&lt;&gt;"",VLOOKUP($C23,授業リスト!$A:$J,7,FALSE),"")</f>
        <v>4</v>
      </c>
      <c r="K23" s="38" t="str">
        <f>IF($C23&lt;&gt;"",VLOOKUP($C23,授業リスト!$A:$J,9,FALSE),"")</f>
        <v>1～4</v>
      </c>
      <c r="L23" s="15"/>
      <c r="M23" s="15"/>
      <c r="N23" s="15"/>
      <c r="O23" s="15"/>
      <c r="P23" s="15"/>
      <c r="Q23" s="15"/>
    </row>
    <row r="24" spans="1:18" ht="18" customHeight="1">
      <c r="A24" s="37">
        <v>1</v>
      </c>
      <c r="B24" s="37" t="s">
        <v>69</v>
      </c>
      <c r="C24" s="85">
        <v>37494</v>
      </c>
      <c r="D24" s="37" t="str">
        <f>IF($C24&lt;&gt;"",VLOOKUP($C24,授業リスト!$A:$J,2,FALSE),"")</f>
        <v>Independent Study</v>
      </c>
      <c r="E24" s="37">
        <f>IF($C24&lt;&gt;"",VLOOKUP($C24,授業リスト!$A:$J,3,FALSE),"")</f>
        <v>0</v>
      </c>
      <c r="F24" s="37" t="str">
        <f>IF($C24&lt;&gt;"",VLOOKUP($C24,授業リスト!$A:$J,8,FALSE),"")</f>
        <v>Emily Brontë</v>
      </c>
      <c r="G24" s="37">
        <f>IF($C24&lt;&gt;"",VLOOKUP($C24,授業リスト!$A:$J,4,FALSE),"")</f>
        <v>1</v>
      </c>
      <c r="H24" s="37" t="str">
        <f>IF($C24&lt;&gt;"",VLOOKUP($C24,授業リスト!$A:$J,5,FALSE),"")</f>
        <v>前</v>
      </c>
      <c r="I24" s="37" t="str">
        <f>IF($C24&lt;&gt;"",VLOOKUP($C24,授業リスト!$A:$J,6,FALSE),"")</f>
        <v>火</v>
      </c>
      <c r="J24" s="37">
        <f>IF($C24&lt;&gt;"",VLOOKUP($C24,授業リスト!$A:$J,7,FALSE),"")</f>
        <v>5</v>
      </c>
      <c r="K24" s="38">
        <f>IF($C24&lt;&gt;"",VLOOKUP($C24,授業リスト!$A:$J,9,FALSE),"")</f>
        <v>1</v>
      </c>
      <c r="L24" s="15"/>
      <c r="M24" s="15"/>
      <c r="N24" s="15"/>
      <c r="O24" s="15"/>
      <c r="P24" s="15"/>
      <c r="Q24" s="15"/>
    </row>
    <row r="25" spans="1:18" ht="18" customHeight="1">
      <c r="A25" s="37">
        <v>1</v>
      </c>
      <c r="B25" s="37" t="s">
        <v>69</v>
      </c>
      <c r="C25" s="85">
        <v>38045</v>
      </c>
      <c r="D25" s="37" t="str">
        <f>IF($C25&lt;&gt;"",VLOOKUP($C25,授業リスト!$A:$J,2,FALSE),"")</f>
        <v>Ethics and Human Rights</v>
      </c>
      <c r="E25" s="37" t="str">
        <f>IF($C25&lt;&gt;"",VLOOKUP($C25,授業リスト!$A:$J,3,FALSE),"")</f>
        <v>C</v>
      </c>
      <c r="F25" s="37" t="str">
        <f>IF($C25&lt;&gt;"",VLOOKUP($C25,授業リスト!$A:$J,8,FALSE),"")</f>
        <v>Marie Louise</v>
      </c>
      <c r="G25" s="37">
        <f>IF($C25&lt;&gt;"",VLOOKUP($C25,授業リスト!$A:$J,4,FALSE),"")</f>
        <v>2</v>
      </c>
      <c r="H25" s="37" t="str">
        <f>IF($C25&lt;&gt;"",VLOOKUP($C25,授業リスト!$A:$J,5,FALSE),"")</f>
        <v>前</v>
      </c>
      <c r="I25" s="37" t="str">
        <f>IF($C25&lt;&gt;"",VLOOKUP($C25,授業リスト!$A:$J,6,FALSE),"")</f>
        <v>木</v>
      </c>
      <c r="J25" s="37">
        <f>IF($C25&lt;&gt;"",VLOOKUP($C25,授業リスト!$A:$J,7,FALSE),"")</f>
        <v>1</v>
      </c>
      <c r="K25" s="38">
        <f>IF($C25&lt;&gt;"",VLOOKUP($C25,授業リスト!$A:$J,9,FALSE),"")</f>
        <v>1</v>
      </c>
      <c r="L25" s="15"/>
      <c r="M25" s="15"/>
      <c r="N25" s="15"/>
      <c r="O25" s="15"/>
      <c r="P25" s="15"/>
      <c r="Q25" s="15"/>
    </row>
    <row r="26" spans="1:18" ht="18" customHeight="1">
      <c r="A26" s="37">
        <v>1</v>
      </c>
      <c r="B26" s="37" t="s">
        <v>69</v>
      </c>
      <c r="C26" s="85"/>
      <c r="D26" s="37" t="str">
        <f>IF($C26&lt;&gt;"",VLOOKUP($C26,授業リスト!$A:$J,2,FALSE),"")</f>
        <v/>
      </c>
      <c r="E26" s="37" t="str">
        <f>IF($C26&lt;&gt;"",VLOOKUP($C26,授業リスト!$A:$J,3,FALSE),"")</f>
        <v/>
      </c>
      <c r="F26" s="37" t="str">
        <f>IF($C26&lt;&gt;"",VLOOKUP($C26,授業リスト!$A:$J,8,FALSE),"")</f>
        <v/>
      </c>
      <c r="G26" s="37" t="str">
        <f>IF($C26&lt;&gt;"",VLOOKUP($C26,授業リスト!$A:$J,4,FALSE),"")</f>
        <v/>
      </c>
      <c r="H26" s="37" t="str">
        <f>IF($C26&lt;&gt;"",VLOOKUP($C26,授業リスト!$A:$J,5,FALSE),"")</f>
        <v/>
      </c>
      <c r="I26" s="37" t="str">
        <f>IF($C26&lt;&gt;"",VLOOKUP($C26,授業リスト!$A:$J,6,FALSE),"")</f>
        <v/>
      </c>
      <c r="J26" s="37" t="str">
        <f>IF($C26&lt;&gt;"",VLOOKUP($C26,授業リスト!$A:$J,7,FALSE),"")</f>
        <v/>
      </c>
      <c r="K26" s="38" t="str">
        <f>IF($C26&lt;&gt;"",VLOOKUP($C26,授業リスト!$A:$J,9,FALSE),"")</f>
        <v/>
      </c>
      <c r="L26" s="15"/>
      <c r="M26" s="15"/>
      <c r="N26" s="15"/>
      <c r="O26" s="15"/>
      <c r="P26" s="15"/>
      <c r="Q26" s="15"/>
    </row>
    <row r="27" spans="1:18" ht="18" customHeight="1">
      <c r="A27" s="37">
        <v>1</v>
      </c>
      <c r="B27" s="37" t="s">
        <v>69</v>
      </c>
      <c r="C27" s="85"/>
      <c r="D27" s="37" t="str">
        <f>IF($C27&lt;&gt;"",VLOOKUP($C27,授業リスト!$A:$J,2,FALSE),"")</f>
        <v/>
      </c>
      <c r="E27" s="37" t="str">
        <f>IF($C27&lt;&gt;"",VLOOKUP($C27,授業リスト!$A:$J,3,FALSE),"")</f>
        <v/>
      </c>
      <c r="F27" s="37" t="str">
        <f>IF($C27&lt;&gt;"",VLOOKUP($C27,授業リスト!$A:$J,8,FALSE),"")</f>
        <v/>
      </c>
      <c r="G27" s="37" t="str">
        <f>IF($C27&lt;&gt;"",VLOOKUP($C27,授業リスト!$A:$J,4,FALSE),"")</f>
        <v/>
      </c>
      <c r="H27" s="37" t="str">
        <f>IF($C27&lt;&gt;"",VLOOKUP($C27,授業リスト!$A:$J,5,FALSE),"")</f>
        <v/>
      </c>
      <c r="I27" s="37" t="str">
        <f>IF($C27&lt;&gt;"",VLOOKUP($C27,授業リスト!$A:$J,6,FALSE),"")</f>
        <v/>
      </c>
      <c r="J27" s="37" t="str">
        <f>IF($C27&lt;&gt;"",VLOOKUP($C27,授業リスト!$A:$J,7,FALSE),"")</f>
        <v/>
      </c>
      <c r="K27" s="38" t="str">
        <f>IF($C27&lt;&gt;"",VLOOKUP($C27,授業リスト!$A:$J,9,FALSE),"")</f>
        <v/>
      </c>
      <c r="L27" s="15"/>
      <c r="M27" s="15"/>
      <c r="N27" s="15"/>
      <c r="O27" s="15"/>
      <c r="P27" s="15"/>
      <c r="Q27" s="15"/>
    </row>
    <row r="28" spans="1:18" ht="18" customHeight="1">
      <c r="A28" s="37">
        <v>1</v>
      </c>
      <c r="B28" s="37" t="s">
        <v>69</v>
      </c>
      <c r="C28" s="85"/>
      <c r="D28" s="37" t="str">
        <f>IF($C28&lt;&gt;"",VLOOKUP($C28,授業リスト!$A:$J,2,FALSE),"")</f>
        <v/>
      </c>
      <c r="E28" s="37" t="str">
        <f>IF($C28&lt;&gt;"",VLOOKUP($C28,授業リスト!$A:$J,3,FALSE),"")</f>
        <v/>
      </c>
      <c r="F28" s="37" t="str">
        <f>IF($C28&lt;&gt;"",VLOOKUP($C28,授業リスト!$A:$J,8,FALSE),"")</f>
        <v/>
      </c>
      <c r="G28" s="37" t="str">
        <f>IF($C28&lt;&gt;"",VLOOKUP($C28,授業リスト!$A:$J,4,FALSE),"")</f>
        <v/>
      </c>
      <c r="H28" s="37" t="str">
        <f>IF($C28&lt;&gt;"",VLOOKUP($C28,授業リスト!$A:$J,5,FALSE),"")</f>
        <v/>
      </c>
      <c r="I28" s="37" t="str">
        <f>IF($C28&lt;&gt;"",VLOOKUP($C28,授業リスト!$A:$J,6,FALSE),"")</f>
        <v/>
      </c>
      <c r="J28" s="37" t="str">
        <f>IF($C28&lt;&gt;"",VLOOKUP($C28,授業リスト!$A:$J,7,FALSE),"")</f>
        <v/>
      </c>
      <c r="K28" s="38" t="str">
        <f>IF($C28&lt;&gt;"",VLOOKUP($C28,授業リスト!$A:$J,9,FALSE),"")</f>
        <v/>
      </c>
      <c r="L28" s="15"/>
      <c r="M28" s="15"/>
      <c r="N28" s="15"/>
      <c r="O28" s="15"/>
      <c r="P28" s="15"/>
      <c r="Q28" s="15"/>
    </row>
    <row r="29" spans="1:18" ht="18" customHeight="1">
      <c r="A29" s="40">
        <v>1</v>
      </c>
      <c r="B29" s="40" t="s">
        <v>69</v>
      </c>
      <c r="C29" s="86"/>
      <c r="D29" s="37" t="str">
        <f>IF($C29&lt;&gt;"",VLOOKUP($C29,授業リスト!$A:$J,2,FALSE),"")</f>
        <v/>
      </c>
      <c r="E29" s="37" t="str">
        <f>IF($C29&lt;&gt;"",VLOOKUP($C29,授業リスト!$A:$J,3,FALSE),"")</f>
        <v/>
      </c>
      <c r="F29" s="37" t="str">
        <f>IF($C29&lt;&gt;"",VLOOKUP($C29,授業リスト!$A:$J,8,FALSE),"")</f>
        <v/>
      </c>
      <c r="G29" s="37" t="str">
        <f>IF($C29&lt;&gt;"",VLOOKUP($C29,授業リスト!$A:$J,4,FALSE),"")</f>
        <v/>
      </c>
      <c r="H29" s="37" t="str">
        <f>IF($C29&lt;&gt;"",VLOOKUP($C29,授業リスト!$A:$J,5,FALSE),"")</f>
        <v/>
      </c>
      <c r="I29" s="37" t="str">
        <f>IF($C29&lt;&gt;"",VLOOKUP($C29,授業リスト!$A:$J,6,FALSE),"")</f>
        <v/>
      </c>
      <c r="J29" s="37" t="str">
        <f>IF($C29&lt;&gt;"",VLOOKUP($C29,授業リスト!$A:$J,7,FALSE),"")</f>
        <v/>
      </c>
      <c r="K29" s="38" t="str">
        <f>IF($C29&lt;&gt;"",VLOOKUP($C29,授業リスト!$A:$J,9,FALSE),"")</f>
        <v/>
      </c>
      <c r="L29" s="15"/>
      <c r="M29" s="15"/>
      <c r="N29" s="15"/>
      <c r="O29" s="15"/>
      <c r="P29" s="15"/>
      <c r="Q29" s="15"/>
    </row>
    <row r="30" spans="1:18" ht="18" customHeight="1">
      <c r="A30">
        <v>1</v>
      </c>
      <c r="B30" t="s">
        <v>47</v>
      </c>
      <c r="C30" s="87">
        <v>37014</v>
      </c>
      <c r="D30" s="32" t="str">
        <f>IF($C30&lt;&gt;"",VLOOKUP($C30,授業リスト!$A:$J,2,FALSE),"")</f>
        <v>Sport and Wellness II</v>
      </c>
      <c r="E30" s="32" t="str">
        <f>IF($C30&lt;&gt;"",VLOOKUP($C30,授業リスト!$A:$J,3,FALSE),"")</f>
        <v>CH3</v>
      </c>
      <c r="F30" s="32" t="str">
        <f>IF($C30&lt;&gt;"",VLOOKUP($C30,授業リスト!$A:$J,8,FALSE),"")</f>
        <v>Roald Amundsen</v>
      </c>
      <c r="G30" s="32">
        <f>IF($C30&lt;&gt;"",VLOOKUP($C30,授業リスト!$A:$J,4,FALSE),"")</f>
        <v>1</v>
      </c>
      <c r="H30" s="32" t="str">
        <f>IF($C30&lt;&gt;"",VLOOKUP($C30,授業リスト!$A:$J,5,FALSE),"")</f>
        <v>後</v>
      </c>
      <c r="I30" s="32" t="str">
        <f>IF($C30&lt;&gt;"",VLOOKUP($C30,授業リスト!$A:$J,6,FALSE),"")</f>
        <v>月</v>
      </c>
      <c r="J30" s="32">
        <f>IF($C30&lt;&gt;"",VLOOKUP($C30,授業リスト!$A:$J,7,FALSE),"")</f>
        <v>3</v>
      </c>
      <c r="K30" s="33">
        <f>IF($C30&lt;&gt;"",VLOOKUP($C30,授業リスト!$A:$J,9,FALSE),"")</f>
        <v>1</v>
      </c>
      <c r="L30" s="2"/>
      <c r="M30" s="3" t="s">
        <v>1156</v>
      </c>
      <c r="N30" s="95" t="s">
        <v>1155</v>
      </c>
      <c r="O30" s="3" t="s">
        <v>1157</v>
      </c>
      <c r="P30" s="3" t="s">
        <v>1158</v>
      </c>
      <c r="Q30" s="3" t="s">
        <v>1159</v>
      </c>
      <c r="R30" s="2"/>
    </row>
    <row r="31" spans="1:18" ht="18" customHeight="1">
      <c r="A31">
        <v>1</v>
      </c>
      <c r="B31" t="s">
        <v>47</v>
      </c>
      <c r="C31" s="87">
        <v>37055</v>
      </c>
      <c r="D31" t="str">
        <f>IF($C31&lt;&gt;"",VLOOKUP($C31,授業リスト!$A:$J,2,FALSE),"")</f>
        <v>English III</v>
      </c>
      <c r="E31" t="str">
        <f>IF($C31&lt;&gt;"",VLOOKUP($C31,授業リスト!$A:$J,3,FALSE),"")</f>
        <v>h</v>
      </c>
      <c r="F31" t="str">
        <f>IF($C31&lt;&gt;"",VLOOKUP($C31,授業リスト!$A:$J,8,FALSE),"")</f>
        <v>Jane Austen</v>
      </c>
      <c r="G31">
        <f>IF($C31&lt;&gt;"",VLOOKUP($C31,授業リスト!$A:$J,4,FALSE),"")</f>
        <v>1</v>
      </c>
      <c r="H31" t="str">
        <f>IF($C31&lt;&gt;"",VLOOKUP($C31,授業リスト!$A:$J,5,FALSE),"")</f>
        <v>後</v>
      </c>
      <c r="I31" t="str">
        <f>IF($C31&lt;&gt;"",VLOOKUP($C31,授業リスト!$A:$J,6,FALSE),"")</f>
        <v>水</v>
      </c>
      <c r="J31">
        <f>IF($C31&lt;&gt;"",VLOOKUP($C31,授業リスト!$A:$J,7,FALSE),"")</f>
        <v>1</v>
      </c>
      <c r="K31" s="30">
        <f>IF($C31&lt;&gt;"",VLOOKUP($C31,授業リスト!$A:$J,9,FALSE),"")</f>
        <v>1</v>
      </c>
      <c r="L31" s="4">
        <v>1</v>
      </c>
      <c r="M31" s="34"/>
      <c r="N31" s="34" t="s">
        <v>635</v>
      </c>
      <c r="O31" s="34" t="s">
        <v>570</v>
      </c>
      <c r="P31" s="34" t="s">
        <v>652</v>
      </c>
      <c r="Q31" s="34" t="s">
        <v>744</v>
      </c>
      <c r="R31" s="2"/>
    </row>
    <row r="32" spans="1:18" ht="18" customHeight="1">
      <c r="A32">
        <v>1</v>
      </c>
      <c r="B32" t="s">
        <v>47</v>
      </c>
      <c r="C32" s="87">
        <v>37063</v>
      </c>
      <c r="D32" t="str">
        <f>IF($C32&lt;&gt;"",VLOOKUP($C32,授業リスト!$A:$J,2,FALSE),"")</f>
        <v>English IV</v>
      </c>
      <c r="E32" t="str">
        <f>IF($C32&lt;&gt;"",VLOOKUP($C32,授業リスト!$A:$J,3,FALSE),"")</f>
        <v>h</v>
      </c>
      <c r="F32" t="str">
        <f>IF($C32&lt;&gt;"",VLOOKUP($C32,授業リスト!$A:$J,8,FALSE),"")</f>
        <v>Robert Frost</v>
      </c>
      <c r="G32">
        <f>IF($C32&lt;&gt;"",VLOOKUP($C32,授業リスト!$A:$J,4,FALSE),"")</f>
        <v>1</v>
      </c>
      <c r="H32" t="str">
        <f>IF($C32&lt;&gt;"",VLOOKUP($C32,授業リスト!$A:$J,5,FALSE),"")</f>
        <v>後</v>
      </c>
      <c r="I32" t="str">
        <f>IF($C32&lt;&gt;"",VLOOKUP($C32,授業リスト!$A:$J,6,FALSE),"")</f>
        <v>木</v>
      </c>
      <c r="J32">
        <f>IF($C32&lt;&gt;"",VLOOKUP($C32,授業リスト!$A:$J,7,FALSE),"")</f>
        <v>2</v>
      </c>
      <c r="K32" s="30">
        <f>IF($C32&lt;&gt;"",VLOOKUP($C32,授業リスト!$A:$J,9,FALSE),"")</f>
        <v>1</v>
      </c>
      <c r="L32" s="4">
        <v>2</v>
      </c>
      <c r="M32" s="34" t="s">
        <v>733</v>
      </c>
      <c r="N32" s="34" t="s">
        <v>621</v>
      </c>
      <c r="O32" s="34" t="s">
        <v>732</v>
      </c>
      <c r="P32" s="34" t="s">
        <v>571</v>
      </c>
      <c r="Q32" s="34" t="s">
        <v>744</v>
      </c>
      <c r="R32" s="2"/>
    </row>
    <row r="33" spans="1:18" ht="18" customHeight="1">
      <c r="A33">
        <v>1</v>
      </c>
      <c r="B33" t="s">
        <v>47</v>
      </c>
      <c r="C33" s="87">
        <v>37077</v>
      </c>
      <c r="D33" t="str">
        <f>IF($C33&lt;&gt;"",VLOOKUP($C33,授業リスト!$A:$J,2,FALSE),"")</f>
        <v>English Communication II</v>
      </c>
      <c r="E33" t="str">
        <f>IF($C33&lt;&gt;"",VLOOKUP($C33,授業リスト!$A:$J,3,FALSE),"")</f>
        <v>C</v>
      </c>
      <c r="F33" t="str">
        <f>IF($C33&lt;&gt;"",VLOOKUP($C33,授業リスト!$A:$J,8,FALSE),"")</f>
        <v>Sir Walter Raleigh</v>
      </c>
      <c r="G33">
        <f>IF($C33&lt;&gt;"",VLOOKUP($C33,授業リスト!$A:$J,4,FALSE),"")</f>
        <v>1</v>
      </c>
      <c r="H33" t="str">
        <f>IF($C33&lt;&gt;"",VLOOKUP($C33,授業リスト!$A:$J,5,FALSE),"")</f>
        <v>後</v>
      </c>
      <c r="I33" t="str">
        <f>IF($C33&lt;&gt;"",VLOOKUP($C33,授業リスト!$A:$J,6,FALSE),"")</f>
        <v>火</v>
      </c>
      <c r="J33">
        <f>IF($C33&lt;&gt;"",VLOOKUP($C33,授業リスト!$A:$J,7,FALSE),"")</f>
        <v>2</v>
      </c>
      <c r="K33" s="30">
        <f>IF($C33&lt;&gt;"",VLOOKUP($C33,授業リスト!$A:$J,9,FALSE),"")</f>
        <v>1</v>
      </c>
      <c r="L33" s="4">
        <v>3</v>
      </c>
      <c r="M33" s="34" t="s">
        <v>565</v>
      </c>
      <c r="N33" s="34" t="s">
        <v>937</v>
      </c>
      <c r="O33" s="34" t="s">
        <v>912</v>
      </c>
      <c r="P33" s="34"/>
      <c r="Q33" s="34"/>
      <c r="R33" s="2"/>
    </row>
    <row r="34" spans="1:18" ht="18" customHeight="1">
      <c r="A34">
        <v>1</v>
      </c>
      <c r="B34" t="s">
        <v>47</v>
      </c>
      <c r="C34" s="87">
        <v>37237</v>
      </c>
      <c r="D34" t="str">
        <f>IF($C34&lt;&gt;"",VLOOKUP($C34,授業リスト!$A:$J,2,FALSE),"")</f>
        <v>Fundamentals and Philosophy of Education</v>
      </c>
      <c r="E34">
        <f>IF($C34&lt;&gt;"",VLOOKUP($C34,授業リスト!$A:$J,3,FALSE),"")</f>
        <v>0</v>
      </c>
      <c r="F34" t="str">
        <f>IF($C34&lt;&gt;"",VLOOKUP($C34,授業リスト!$A:$J,8,FALSE),"")</f>
        <v>Emily Dickinson</v>
      </c>
      <c r="G34">
        <f>IF($C34&lt;&gt;"",VLOOKUP($C34,授業リスト!$A:$J,4,FALSE),"")</f>
        <v>2</v>
      </c>
      <c r="H34" t="str">
        <f>IF($C34&lt;&gt;"",VLOOKUP($C34,授業リスト!$A:$J,5,FALSE),"")</f>
        <v>後</v>
      </c>
      <c r="I34" t="str">
        <f>IF($C34&lt;&gt;"",VLOOKUP($C34,授業リスト!$A:$J,6,FALSE),"")</f>
        <v>水</v>
      </c>
      <c r="J34">
        <f>IF($C34&lt;&gt;"",VLOOKUP($C34,授業リスト!$A:$J,7,FALSE),"")</f>
        <v>2</v>
      </c>
      <c r="K34" s="30">
        <f>IF($C34&lt;&gt;"",VLOOKUP($C34,授業リスト!$A:$J,9,FALSE),"")</f>
        <v>1</v>
      </c>
      <c r="L34" s="4">
        <v>4</v>
      </c>
      <c r="M34" s="34" t="s">
        <v>927</v>
      </c>
      <c r="N34" s="34" t="s">
        <v>248</v>
      </c>
      <c r="O34" s="34" t="s">
        <v>908</v>
      </c>
      <c r="P34" s="34" t="s">
        <v>921</v>
      </c>
      <c r="Q34" s="34"/>
      <c r="R34" s="2"/>
    </row>
    <row r="35" spans="1:18" ht="18" customHeight="1">
      <c r="A35">
        <v>1</v>
      </c>
      <c r="B35" t="s">
        <v>47</v>
      </c>
      <c r="C35" s="87">
        <v>37467</v>
      </c>
      <c r="D35" t="str">
        <f>IF($C35&lt;&gt;"",VLOOKUP($C35,授業リスト!$A:$J,2,FALSE),"")</f>
        <v>Special Lectures in English Linguistics I</v>
      </c>
      <c r="E35" t="str">
        <f>IF($C35&lt;&gt;"",VLOOKUP($C35,授業リスト!$A:$J,3,FALSE),"")</f>
        <v/>
      </c>
      <c r="F35" t="str">
        <f>IF($C35&lt;&gt;"",VLOOKUP($C35,授業リスト!$A:$J,8,FALSE),"")</f>
        <v>Guglielmo Marconi</v>
      </c>
      <c r="G35">
        <f>IF($C35&lt;&gt;"",VLOOKUP($C35,授業リスト!$A:$J,4,FALSE),"")</f>
        <v>2</v>
      </c>
      <c r="H35" t="str">
        <f>IF($C35&lt;&gt;"",VLOOKUP($C35,授業リスト!$A:$J,5,FALSE),"")</f>
        <v>後</v>
      </c>
      <c r="I35" t="str">
        <f>IF($C35&lt;&gt;"",VLOOKUP($C35,授業リスト!$A:$J,6,FALSE),"")</f>
        <v>木</v>
      </c>
      <c r="J35">
        <f>IF($C35&lt;&gt;"",VLOOKUP($C35,授業リスト!$A:$J,7,FALSE),"")</f>
        <v>4</v>
      </c>
      <c r="K35" s="30">
        <f>IF($C35&lt;&gt;"",VLOOKUP($C35,授業リスト!$A:$J,9,FALSE),"")</f>
        <v>1</v>
      </c>
      <c r="L35" s="4">
        <v>5</v>
      </c>
      <c r="M35" s="34" t="s">
        <v>405</v>
      </c>
      <c r="N35" s="34"/>
      <c r="O35" s="34"/>
      <c r="P35" s="34"/>
      <c r="Q35" s="34"/>
      <c r="R35" s="2"/>
    </row>
    <row r="36" spans="1:18" ht="18" customHeight="1">
      <c r="A36">
        <v>1</v>
      </c>
      <c r="B36" t="s">
        <v>47</v>
      </c>
      <c r="C36" s="87">
        <v>37473</v>
      </c>
      <c r="D36" t="str">
        <f>IF($C36&lt;&gt;"",VLOOKUP($C36,授業リスト!$A:$J,2,FALSE),"")</f>
        <v>Special Lectures in English Literature I</v>
      </c>
      <c r="E36" t="str">
        <f>IF($C36&lt;&gt;"",VLOOKUP($C36,授業リスト!$A:$J,3,FALSE),"")</f>
        <v/>
      </c>
      <c r="F36" t="str">
        <f>IF($C36&lt;&gt;"",VLOOKUP($C36,授業リスト!$A:$J,8,FALSE),"")</f>
        <v>George Washington</v>
      </c>
      <c r="G36">
        <f>IF($C36&lt;&gt;"",VLOOKUP($C36,授業リスト!$A:$J,4,FALSE),"")</f>
        <v>2</v>
      </c>
      <c r="H36" t="str">
        <f>IF($C36&lt;&gt;"",VLOOKUP($C36,授業リスト!$A:$J,5,FALSE),"")</f>
        <v>後</v>
      </c>
      <c r="I36" t="str">
        <f>IF($C36&lt;&gt;"",VLOOKUP($C36,授業リスト!$A:$J,6,FALSE),"")</f>
        <v>月</v>
      </c>
      <c r="J36">
        <f>IF($C36&lt;&gt;"",VLOOKUP($C36,授業リスト!$A:$J,7,FALSE),"")</f>
        <v>4</v>
      </c>
      <c r="K36" s="30">
        <f>IF($C36&lt;&gt;"",VLOOKUP($C36,授業リスト!$A:$J,9,FALSE),"")</f>
        <v>1</v>
      </c>
      <c r="L36" s="4">
        <v>6</v>
      </c>
      <c r="M36" s="34"/>
      <c r="N36" s="34"/>
      <c r="O36" s="34"/>
      <c r="P36" s="34"/>
      <c r="Q36" s="34"/>
      <c r="R36" s="2"/>
    </row>
    <row r="37" spans="1:18" ht="18" customHeight="1">
      <c r="A37">
        <v>1</v>
      </c>
      <c r="B37" t="s">
        <v>47</v>
      </c>
      <c r="C37" s="87">
        <v>37483</v>
      </c>
      <c r="D37" t="str">
        <f>IF($C37&lt;&gt;"",VLOOKUP($C37,授業リスト!$A:$J,2,FALSE),"")</f>
        <v>Special Lectures in English Communication Studies I</v>
      </c>
      <c r="E37">
        <f>IF($C37&lt;&gt;"",VLOOKUP($C37,授業リスト!$A:$J,3,FALSE),"")</f>
        <v>0</v>
      </c>
      <c r="F37" t="str">
        <f>IF($C37&lt;&gt;"",VLOOKUP($C37,授業リスト!$A:$J,8,FALSE),"")</f>
        <v>Ernest Hemingway</v>
      </c>
      <c r="G37">
        <f>IF($C37&lt;&gt;"",VLOOKUP($C37,授業リスト!$A:$J,4,FALSE),"")</f>
        <v>2</v>
      </c>
      <c r="H37" t="str">
        <f>IF($C37&lt;&gt;"",VLOOKUP($C37,授業リスト!$A:$J,5,FALSE),"")</f>
        <v>後</v>
      </c>
      <c r="I37" t="str">
        <f>IF($C37&lt;&gt;"",VLOOKUP($C37,授業リスト!$A:$J,6,FALSE),"")</f>
        <v>火</v>
      </c>
      <c r="J37">
        <f>IF($C37&lt;&gt;"",VLOOKUP($C37,授業リスト!$A:$J,7,FALSE),"")</f>
        <v>3</v>
      </c>
      <c r="K37" s="30">
        <f>IF($C37&lt;&gt;"",VLOOKUP($C37,授業リスト!$A:$J,9,FALSE),"")</f>
        <v>1</v>
      </c>
      <c r="L37" s="4" t="s">
        <v>1160</v>
      </c>
      <c r="M37" s="102" t="s">
        <v>653</v>
      </c>
      <c r="N37" s="103"/>
      <c r="O37" s="103"/>
      <c r="P37" s="103"/>
      <c r="Q37" s="104"/>
      <c r="R37" s="2"/>
    </row>
    <row r="38" spans="1:18" ht="18" customHeight="1">
      <c r="A38">
        <v>1</v>
      </c>
      <c r="B38" t="s">
        <v>47</v>
      </c>
      <c r="C38" s="87">
        <v>37450</v>
      </c>
      <c r="D38" t="str">
        <f>IF($C38&lt;&gt;"",VLOOKUP($C38,授業リスト!$A:$J,2,FALSE),"")</f>
        <v>Introduction to English Linguistics I</v>
      </c>
      <c r="E38" t="str">
        <f>IF($C38&lt;&gt;"",VLOOKUP($C38,授業リスト!$A:$J,3,FALSE),"")</f>
        <v/>
      </c>
      <c r="F38" t="str">
        <f>IF($C38&lt;&gt;"",VLOOKUP($C38,授業リスト!$A:$J,8,FALSE),"")</f>
        <v>Florence Nightingale</v>
      </c>
      <c r="G38">
        <f>IF($C38&lt;&gt;"",VLOOKUP($C38,授業リスト!$A:$J,4,FALSE),"")</f>
        <v>2</v>
      </c>
      <c r="H38" t="str">
        <f>IF($C38&lt;&gt;"",VLOOKUP($C38,授業リスト!$A:$J,5,FALSE),"")</f>
        <v>後</v>
      </c>
      <c r="I38" t="str">
        <f>IF($C38&lt;&gt;"",VLOOKUP($C38,授業リスト!$A:$J,6,FALSE),"")</f>
        <v>水</v>
      </c>
      <c r="J38">
        <f>IF($C38&lt;&gt;"",VLOOKUP($C38,授業リスト!$A:$J,7,FALSE),"")</f>
        <v>4</v>
      </c>
      <c r="K38" s="30">
        <f>IF($C38&lt;&gt;"",VLOOKUP($C38,授業リスト!$A:$J,9,FALSE),"")</f>
        <v>1</v>
      </c>
      <c r="L38" s="15"/>
      <c r="M38" s="15"/>
      <c r="N38" s="15"/>
      <c r="O38" s="15"/>
      <c r="P38" s="15"/>
      <c r="Q38" s="15"/>
    </row>
    <row r="39" spans="1:18" ht="18" customHeight="1">
      <c r="A39">
        <v>1</v>
      </c>
      <c r="B39" t="s">
        <v>47</v>
      </c>
      <c r="C39" s="87">
        <v>37454</v>
      </c>
      <c r="D39" t="str">
        <f>IF($C39&lt;&gt;"",VLOOKUP($C39,授業リスト!$A:$J,2,FALSE),"")</f>
        <v>Introduction to English Literature II</v>
      </c>
      <c r="E39" t="str">
        <f>IF($C39&lt;&gt;"",VLOOKUP($C39,授業リスト!$A:$J,3,FALSE),"")</f>
        <v/>
      </c>
      <c r="F39" t="str">
        <f>IF($C39&lt;&gt;"",VLOOKUP($C39,授業リスト!$A:$J,8,FALSE),"")</f>
        <v>Sir Francis Drake</v>
      </c>
      <c r="G39">
        <f>IF($C39&lt;&gt;"",VLOOKUP($C39,授業リスト!$A:$J,4,FALSE),"")</f>
        <v>2</v>
      </c>
      <c r="H39" t="str">
        <f>IF($C39&lt;&gt;"",VLOOKUP($C39,授業リスト!$A:$J,5,FALSE),"")</f>
        <v>後</v>
      </c>
      <c r="I39" t="str">
        <f>IF($C39&lt;&gt;"",VLOOKUP($C39,授業リスト!$A:$J,6,FALSE),"")</f>
        <v>水</v>
      </c>
      <c r="J39">
        <f>IF($C39&lt;&gt;"",VLOOKUP($C39,授業リスト!$A:$J,7,FALSE),"")</f>
        <v>3</v>
      </c>
      <c r="K39" s="30">
        <f>IF($C39&lt;&gt;"",VLOOKUP($C39,授業リスト!$A:$J,9,FALSE),"")</f>
        <v>1</v>
      </c>
      <c r="L39" s="15"/>
      <c r="M39" s="15"/>
      <c r="N39" s="15"/>
      <c r="O39" s="15"/>
      <c r="P39" s="15"/>
      <c r="Q39" s="15"/>
    </row>
    <row r="40" spans="1:18" ht="18" customHeight="1">
      <c r="A40">
        <v>1</v>
      </c>
      <c r="B40" t="s">
        <v>47</v>
      </c>
      <c r="C40" s="87">
        <v>37108</v>
      </c>
      <c r="D40" t="str">
        <f>IF($C40&lt;&gt;"",VLOOKUP($C40,授業リスト!$A:$J,2,FALSE),"")</f>
        <v>Gen Ed Sciences</v>
      </c>
      <c r="E40" t="str">
        <f>IF($C40&lt;&gt;"",VLOOKUP($C40,授業リスト!$A:$J,3,FALSE),"")</f>
        <v>Life and Poverty</v>
      </c>
      <c r="F40" t="str">
        <f>IF($C40&lt;&gt;"",VLOOKUP($C40,授業リスト!$A:$J,8,FALSE),"")</f>
        <v>Charles Darwin</v>
      </c>
      <c r="G40">
        <f>IF($C40&lt;&gt;"",VLOOKUP($C40,授業リスト!$A:$J,4,FALSE),"")</f>
        <v>2</v>
      </c>
      <c r="H40" t="str">
        <f>IF($C40&lt;&gt;"",VLOOKUP($C40,授業リスト!$A:$J,5,FALSE),"")</f>
        <v>後</v>
      </c>
      <c r="I40" t="str">
        <f>IF($C40&lt;&gt;"",VLOOKUP($C40,授業リスト!$A:$J,6,FALSE),"")</f>
        <v>木</v>
      </c>
      <c r="J40">
        <f>IF($C40&lt;&gt;"",VLOOKUP($C40,授業リスト!$A:$J,7,FALSE),"")</f>
        <v>1</v>
      </c>
      <c r="K40" s="30" t="str">
        <f>IF($C40&lt;&gt;"",VLOOKUP($C40,授業リスト!$A:$J,9,FALSE),"")</f>
        <v>1～2</v>
      </c>
      <c r="L40" s="15"/>
      <c r="M40" s="15"/>
      <c r="N40" s="15"/>
      <c r="O40" s="15"/>
      <c r="P40" s="15"/>
      <c r="Q40" s="15"/>
    </row>
    <row r="41" spans="1:18" ht="18" customHeight="1">
      <c r="A41">
        <v>1</v>
      </c>
      <c r="B41" t="s">
        <v>47</v>
      </c>
      <c r="C41" s="87">
        <v>37136</v>
      </c>
      <c r="D41" t="str">
        <f>IF($C41&lt;&gt;"",VLOOKUP($C41,授業リスト!$A:$J,2,FALSE),"")</f>
        <v>Korean II</v>
      </c>
      <c r="E41" t="str">
        <f>IF($C41&lt;&gt;"",VLOOKUP($C41,授業リスト!$A:$J,3,FALSE),"")</f>
        <v/>
      </c>
      <c r="F41" t="str">
        <f>IF($C41&lt;&gt;"",VLOOKUP($C41,授業リスト!$A:$J,8,FALSE),"")</f>
        <v>Guglielmo Marconi</v>
      </c>
      <c r="G41">
        <f>IF($C41&lt;&gt;"",VLOOKUP($C41,授業リスト!$A:$J,4,FALSE),"")</f>
        <v>2</v>
      </c>
      <c r="H41" t="str">
        <f>IF($C41&lt;&gt;"",VLOOKUP($C41,授業リスト!$A:$J,5,FALSE),"")</f>
        <v>後</v>
      </c>
      <c r="I41" t="str">
        <f>IF($C41&lt;&gt;"",VLOOKUP($C41,授業リスト!$A:$J,6,FALSE),"")</f>
        <v>火</v>
      </c>
      <c r="J41">
        <f>IF($C41&lt;&gt;"",VLOOKUP($C41,授業リスト!$A:$J,7,FALSE),"")</f>
        <v>1</v>
      </c>
      <c r="K41" s="30" t="str">
        <f>IF($C41&lt;&gt;"",VLOOKUP($C41,授業リスト!$A:$J,9,FALSE),"")</f>
        <v>1～2</v>
      </c>
      <c r="L41" s="15"/>
      <c r="M41" s="15"/>
      <c r="N41" s="15"/>
      <c r="O41" s="15"/>
      <c r="P41" s="15"/>
      <c r="Q41" s="15"/>
    </row>
    <row r="42" spans="1:18" ht="18" customHeight="1">
      <c r="A42">
        <v>1</v>
      </c>
      <c r="B42" t="s">
        <v>47</v>
      </c>
      <c r="C42" s="87"/>
      <c r="D42" t="str">
        <f>IF($C42&lt;&gt;"",VLOOKUP($C42,授業リスト!$A:$J,2,FALSE),"")</f>
        <v/>
      </c>
      <c r="E42" t="str">
        <f>IF($C42&lt;&gt;"",VLOOKUP($C42,授業リスト!$A:$J,3,FALSE),"")</f>
        <v/>
      </c>
      <c r="F42" t="str">
        <f>IF($C42&lt;&gt;"",VLOOKUP($C42,授業リスト!$A:$J,8,FALSE),"")</f>
        <v/>
      </c>
      <c r="G42" t="str">
        <f>IF($C42&lt;&gt;"",VLOOKUP($C42,授業リスト!$A:$J,4,FALSE),"")</f>
        <v/>
      </c>
      <c r="H42" t="str">
        <f>IF($C42&lt;&gt;"",VLOOKUP($C42,授業リスト!$A:$J,5,FALSE),"")</f>
        <v/>
      </c>
      <c r="I42" t="str">
        <f>IF($C42&lt;&gt;"",VLOOKUP($C42,授業リスト!$A:$J,6,FALSE),"")</f>
        <v/>
      </c>
      <c r="J42" t="str">
        <f>IF($C42&lt;&gt;"",VLOOKUP($C42,授業リスト!$A:$J,7,FALSE),"")</f>
        <v/>
      </c>
      <c r="K42" s="30" t="str">
        <f>IF($C42&lt;&gt;"",VLOOKUP($C42,授業リスト!$A:$J,9,FALSE),"")</f>
        <v/>
      </c>
      <c r="L42" s="15"/>
      <c r="M42" s="15"/>
      <c r="N42" s="15"/>
      <c r="O42" s="15"/>
      <c r="P42" s="15"/>
      <c r="Q42" s="15"/>
    </row>
    <row r="43" spans="1:18" ht="18" customHeight="1">
      <c r="A43">
        <v>1</v>
      </c>
      <c r="B43" t="s">
        <v>47</v>
      </c>
      <c r="C43" s="87"/>
      <c r="D43" t="str">
        <f>IF($C43&lt;&gt;"",VLOOKUP($C43,授業リスト!$A:$J,2,FALSE),"")</f>
        <v/>
      </c>
      <c r="E43" t="str">
        <f>IF($C43&lt;&gt;"",VLOOKUP($C43,授業リスト!$A:$J,3,FALSE),"")</f>
        <v/>
      </c>
      <c r="F43" t="str">
        <f>IF($C43&lt;&gt;"",VLOOKUP($C43,授業リスト!$A:$J,8,FALSE),"")</f>
        <v/>
      </c>
      <c r="G43" t="str">
        <f>IF($C43&lt;&gt;"",VLOOKUP($C43,授業リスト!$A:$J,4,FALSE),"")</f>
        <v/>
      </c>
      <c r="H43" t="str">
        <f>IF($C43&lt;&gt;"",VLOOKUP($C43,授業リスト!$A:$J,5,FALSE),"")</f>
        <v/>
      </c>
      <c r="I43" t="str">
        <f>IF($C43&lt;&gt;"",VLOOKUP($C43,授業リスト!$A:$J,6,FALSE),"")</f>
        <v/>
      </c>
      <c r="J43" t="str">
        <f>IF($C43&lt;&gt;"",VLOOKUP($C43,授業リスト!$A:$J,7,FALSE),"")</f>
        <v/>
      </c>
      <c r="K43" s="30" t="str">
        <f>IF($C43&lt;&gt;"",VLOOKUP($C43,授業リスト!$A:$J,9,FALSE),"")</f>
        <v/>
      </c>
      <c r="L43" s="15"/>
      <c r="M43" s="15"/>
      <c r="N43" s="15"/>
      <c r="O43" s="15"/>
      <c r="P43" s="15"/>
      <c r="Q43" s="15"/>
    </row>
    <row r="44" spans="1:18" ht="18" customHeight="1">
      <c r="A44">
        <v>1</v>
      </c>
      <c r="B44" t="s">
        <v>47</v>
      </c>
      <c r="C44" s="87">
        <v>37240</v>
      </c>
      <c r="D44" t="str">
        <f>IF($C44&lt;&gt;"",VLOOKUP($C44,授業リスト!$A:$J,2,FALSE),"")</f>
        <v>Development and Learning</v>
      </c>
      <c r="E44">
        <f>IF($C44&lt;&gt;"",VLOOKUP($C44,授業リスト!$A:$J,3,FALSE),"")</f>
        <v>0</v>
      </c>
      <c r="F44" t="str">
        <f>IF($C44&lt;&gt;"",VLOOKUP($C44,授業リスト!$A:$J,8,FALSE),"")</f>
        <v>Mark Twain</v>
      </c>
      <c r="G44">
        <f>IF($C44&lt;&gt;"",VLOOKUP($C44,授業リスト!$A:$J,4,FALSE),"")</f>
        <v>2</v>
      </c>
      <c r="H44" t="str">
        <f>IF($C44&lt;&gt;"",VLOOKUP($C44,授業リスト!$A:$J,5,FALSE),"")</f>
        <v>後</v>
      </c>
      <c r="I44" t="str">
        <f>IF($C44&lt;&gt;"",VLOOKUP($C44,授業リスト!$A:$J,6,FALSE),"")</f>
        <v>月</v>
      </c>
      <c r="J44">
        <f>IF($C44&lt;&gt;"",VLOOKUP($C44,授業リスト!$A:$J,7,FALSE),"")</f>
        <v>2</v>
      </c>
      <c r="K44" s="30">
        <f>IF($C44&lt;&gt;"",VLOOKUP($C44,授業リスト!$A:$J,9,FALSE),"")</f>
        <v>1</v>
      </c>
      <c r="L44" s="15"/>
      <c r="M44" s="15"/>
      <c r="N44" s="15"/>
      <c r="O44" s="15"/>
      <c r="P44" s="15"/>
      <c r="Q44" s="15"/>
    </row>
    <row r="45" spans="1:18" ht="18" customHeight="1">
      <c r="A45">
        <v>1</v>
      </c>
      <c r="B45" t="s">
        <v>47</v>
      </c>
      <c r="C45" s="87"/>
      <c r="D45" t="str">
        <f>IF($C45&lt;&gt;"",VLOOKUP($C45,授業リスト!$A:$J,2,FALSE),"")</f>
        <v/>
      </c>
      <c r="E45" t="str">
        <f>IF($C45&lt;&gt;"",VLOOKUP($C45,授業リスト!$A:$J,3,FALSE),"")</f>
        <v/>
      </c>
      <c r="F45" t="str">
        <f>IF($C45&lt;&gt;"",VLOOKUP($C45,授業リスト!$A:$J,8,FALSE),"")</f>
        <v/>
      </c>
      <c r="G45" t="str">
        <f>IF($C45&lt;&gt;"",VLOOKUP($C45,授業リスト!$A:$J,4,FALSE),"")</f>
        <v/>
      </c>
      <c r="H45" t="str">
        <f>IF($C45&lt;&gt;"",VLOOKUP($C45,授業リスト!$A:$J,5,FALSE),"")</f>
        <v/>
      </c>
      <c r="I45" t="str">
        <f>IF($C45&lt;&gt;"",VLOOKUP($C45,授業リスト!$A:$J,6,FALSE),"")</f>
        <v/>
      </c>
      <c r="J45" t="str">
        <f>IF($C45&lt;&gt;"",VLOOKUP($C45,授業リスト!$A:$J,7,FALSE),"")</f>
        <v/>
      </c>
      <c r="K45" s="30" t="str">
        <f>IF($C45&lt;&gt;"",VLOOKUP($C45,授業リスト!$A:$J,9,FALSE),"")</f>
        <v/>
      </c>
      <c r="L45" s="15"/>
      <c r="M45" s="15"/>
      <c r="N45" s="15"/>
      <c r="O45" s="15"/>
      <c r="P45" s="15"/>
      <c r="Q45" s="15"/>
    </row>
    <row r="46" spans="1:18" ht="18" customHeight="1">
      <c r="A46">
        <v>1</v>
      </c>
      <c r="B46" t="s">
        <v>47</v>
      </c>
      <c r="C46" s="87">
        <v>37487</v>
      </c>
      <c r="D46" t="str">
        <f>IF($C46&lt;&gt;"",VLOOKUP($C46,授業リスト!$A:$J,2,FALSE),"")</f>
        <v>English Teaching Methodologies</v>
      </c>
      <c r="E46">
        <f>IF($C46&lt;&gt;"",VLOOKUP($C46,授業リスト!$A:$J,3,FALSE),"")</f>
        <v>0</v>
      </c>
      <c r="F46" t="str">
        <f>IF($C46&lt;&gt;"",VLOOKUP($C46,授業リスト!$A:$J,8,FALSE),"")</f>
        <v>Ludwig van Beethoven</v>
      </c>
      <c r="G46">
        <f>IF($C46&lt;&gt;"",VLOOKUP($C46,授業リスト!$A:$J,4,FALSE),"")</f>
        <v>2</v>
      </c>
      <c r="H46" t="str">
        <f>IF($C46&lt;&gt;"",VLOOKUP($C46,授業リスト!$A:$J,5,FALSE),"")</f>
        <v>後</v>
      </c>
      <c r="I46" t="str">
        <f>IF($C46&lt;&gt;"",VLOOKUP($C46,授業リスト!$A:$J,6,FALSE),"")</f>
        <v>月</v>
      </c>
      <c r="J46">
        <f>IF($C46&lt;&gt;"",VLOOKUP($C46,授業リスト!$A:$J,7,FALSE),"")</f>
        <v>5</v>
      </c>
      <c r="K46" s="30" t="str">
        <f>IF($C46&lt;&gt;"",VLOOKUP($C46,授業リスト!$A:$J,9,FALSE),"")</f>
        <v>1～4</v>
      </c>
      <c r="L46" s="15"/>
      <c r="M46" s="15"/>
      <c r="N46" s="15"/>
      <c r="O46" s="15"/>
      <c r="P46" s="15"/>
      <c r="Q46" s="15"/>
    </row>
    <row r="47" spans="1:18" ht="18" customHeight="1">
      <c r="A47">
        <v>1</v>
      </c>
      <c r="B47" t="s">
        <v>47</v>
      </c>
      <c r="C47" s="87"/>
      <c r="D47" t="str">
        <f>IF($C47&lt;&gt;"",VLOOKUP($C47,授業リスト!$A:$J,2,FALSE),"")</f>
        <v/>
      </c>
      <c r="E47" t="str">
        <f>IF($C47&lt;&gt;"",VLOOKUP($C47,授業リスト!$A:$J,3,FALSE),"")</f>
        <v/>
      </c>
      <c r="F47" t="str">
        <f>IF($C47&lt;&gt;"",VLOOKUP($C47,授業リスト!$A:$J,8,FALSE),"")</f>
        <v/>
      </c>
      <c r="G47" t="str">
        <f>IF($C47&lt;&gt;"",VLOOKUP($C47,授業リスト!$A:$J,4,FALSE),"")</f>
        <v/>
      </c>
      <c r="H47" t="str">
        <f>IF($C47&lt;&gt;"",VLOOKUP($C47,授業リスト!$A:$J,5,FALSE),"")</f>
        <v/>
      </c>
      <c r="I47" t="str">
        <f>IF($C47&lt;&gt;"",VLOOKUP($C47,授業リスト!$A:$J,6,FALSE),"")</f>
        <v/>
      </c>
      <c r="J47" t="str">
        <f>IF($C47&lt;&gt;"",VLOOKUP($C47,授業リスト!$A:$J,7,FALSE),"")</f>
        <v/>
      </c>
      <c r="K47" s="30" t="str">
        <f>IF($C47&lt;&gt;"",VLOOKUP($C47,授業リスト!$A:$J,9,FALSE),"")</f>
        <v/>
      </c>
      <c r="L47" s="15"/>
      <c r="M47" s="15"/>
      <c r="N47" s="15"/>
      <c r="O47" s="15"/>
      <c r="P47" s="15"/>
      <c r="Q47" s="15"/>
    </row>
    <row r="48" spans="1:18" ht="18" customHeight="1">
      <c r="A48">
        <v>1</v>
      </c>
      <c r="B48" t="s">
        <v>47</v>
      </c>
      <c r="C48" s="87"/>
      <c r="D48" t="str">
        <f>IF($C48&lt;&gt;"",VLOOKUP($C48,授業リスト!$A:$J,2,FALSE),"")</f>
        <v/>
      </c>
      <c r="E48" t="str">
        <f>IF($C48&lt;&gt;"",VLOOKUP($C48,授業リスト!$A:$J,3,FALSE),"")</f>
        <v/>
      </c>
      <c r="F48" t="str">
        <f>IF($C48&lt;&gt;"",VLOOKUP($C48,授業リスト!$A:$J,8,FALSE),"")</f>
        <v/>
      </c>
      <c r="G48" t="str">
        <f>IF($C48&lt;&gt;"",VLOOKUP($C48,授業リスト!$A:$J,4,FALSE),"")</f>
        <v/>
      </c>
      <c r="H48" t="str">
        <f>IF($C48&lt;&gt;"",VLOOKUP($C48,授業リスト!$A:$J,5,FALSE),"")</f>
        <v/>
      </c>
      <c r="I48" t="str">
        <f>IF($C48&lt;&gt;"",VLOOKUP($C48,授業リスト!$A:$J,6,FALSE),"")</f>
        <v/>
      </c>
      <c r="J48" t="str">
        <f>IF($C48&lt;&gt;"",VLOOKUP($C48,授業リスト!$A:$J,7,FALSE),"")</f>
        <v/>
      </c>
      <c r="K48" s="30" t="str">
        <f>IF($C48&lt;&gt;"",VLOOKUP($C48,授業リスト!$A:$J,9,FALSE),"")</f>
        <v/>
      </c>
      <c r="L48" s="15"/>
      <c r="M48" s="15"/>
      <c r="N48" s="15"/>
      <c r="O48" s="15"/>
      <c r="P48" s="15"/>
      <c r="Q48" s="15"/>
    </row>
    <row r="49" spans="1:18" ht="18" customHeight="1">
      <c r="A49">
        <v>1</v>
      </c>
      <c r="B49" t="s">
        <v>47</v>
      </c>
      <c r="C49" s="87">
        <v>38102</v>
      </c>
      <c r="D49" t="str">
        <f>IF($C49&lt;&gt;"",VLOOKUP($C49,授業リスト!$A:$J,2,FALSE),"")</f>
        <v>School Education Practice and Reflection I</v>
      </c>
      <c r="E49">
        <f>IF($C49&lt;&gt;"",VLOOKUP($C49,授業リスト!$A:$J,3,FALSE),"")</f>
        <v>0</v>
      </c>
      <c r="F49" t="str">
        <f>IF($C49&lt;&gt;"",VLOOKUP($C49,授業リスト!$A:$J,8,FALSE),"")</f>
        <v>Johann Wolfgang von Goethe</v>
      </c>
      <c r="G49">
        <f>IF($C49&lt;&gt;"",VLOOKUP($C49,授業リスト!$A:$J,4,FALSE),"")</f>
        <v>2</v>
      </c>
      <c r="H49" t="str">
        <f>IF($C49&lt;&gt;"",VLOOKUP($C49,授業リスト!$A:$J,5,FALSE),"")</f>
        <v>通年</v>
      </c>
      <c r="I49" t="str">
        <f>IF($C49&lt;&gt;"",VLOOKUP($C49,授業リスト!$A:$J,6,FALSE),"")</f>
        <v>金</v>
      </c>
      <c r="J49" t="str">
        <f>IF($C49&lt;&gt;"",VLOOKUP($C49,授業リスト!$A:$J,7,FALSE),"")</f>
        <v>1-2</v>
      </c>
      <c r="K49" s="30">
        <f>IF($C49&lt;&gt;"",VLOOKUP($C49,授業リスト!$A:$J,9,FALSE),"")</f>
        <v>1</v>
      </c>
      <c r="L49" s="15"/>
      <c r="M49" s="24" t="s">
        <v>1113</v>
      </c>
    </row>
    <row r="50" spans="1:18" ht="18" customHeight="1" thickBot="1">
      <c r="A50">
        <v>1</v>
      </c>
      <c r="B50" t="s">
        <v>47</v>
      </c>
      <c r="C50" s="87"/>
      <c r="D50" t="str">
        <f>IF($C50&lt;&gt;"",VLOOKUP($C50,授業リスト!$A:$J,2,FALSE),"")</f>
        <v/>
      </c>
      <c r="E50" t="str">
        <f>IF($C50&lt;&gt;"",VLOOKUP($C50,授業リスト!$A:$J,3,FALSE),"")</f>
        <v/>
      </c>
      <c r="F50" t="str">
        <f>IF($C50&lt;&gt;"",VLOOKUP($C50,授業リスト!$A:$J,8,FALSE),"")</f>
        <v/>
      </c>
      <c r="G50" t="str">
        <f>IF($C50&lt;&gt;"",VLOOKUP($C50,授業リスト!$A:$J,4,FALSE),"")</f>
        <v/>
      </c>
      <c r="H50" t="str">
        <f>IF($C50&lt;&gt;"",VLOOKUP($C50,授業リスト!$A:$J,5,FALSE),"")</f>
        <v/>
      </c>
      <c r="I50" t="str">
        <f>IF($C50&lt;&gt;"",VLOOKUP($C50,授業リスト!$A:$J,6,FALSE),"")</f>
        <v/>
      </c>
      <c r="J50" t="str">
        <f>IF($C50&lt;&gt;"",VLOOKUP($C50,授業リスト!$A:$J,7,FALSE),"")</f>
        <v/>
      </c>
      <c r="K50" s="30" t="str">
        <f>IF($C50&lt;&gt;"",VLOOKUP($C50,授業リスト!$A:$J,9,FALSE),"")</f>
        <v/>
      </c>
      <c r="L50" s="15"/>
    </row>
    <row r="51" spans="1:18" ht="18" customHeight="1" thickBot="1">
      <c r="A51">
        <v>1</v>
      </c>
      <c r="B51" t="s">
        <v>47</v>
      </c>
      <c r="C51" s="87"/>
      <c r="D51" t="str">
        <f>IF($C51&lt;&gt;"",VLOOKUP($C51,授業リスト!$A:$J,2,FALSE),"")</f>
        <v/>
      </c>
      <c r="E51" t="str">
        <f>IF($C51&lt;&gt;"",VLOOKUP($C51,授業リスト!$A:$J,3,FALSE),"")</f>
        <v/>
      </c>
      <c r="F51" t="str">
        <f>IF($C51&lt;&gt;"",VLOOKUP($C51,授業リスト!$A:$J,8,FALSE),"")</f>
        <v/>
      </c>
      <c r="G51" t="str">
        <f>IF($C51&lt;&gt;"",VLOOKUP($C51,授業リスト!$A:$J,4,FALSE),"")</f>
        <v/>
      </c>
      <c r="H51" t="str">
        <f>IF($C51&lt;&gt;"",VLOOKUP($C51,授業リスト!$A:$J,5,FALSE),"")</f>
        <v/>
      </c>
      <c r="I51" t="str">
        <f>IF($C51&lt;&gt;"",VLOOKUP($C51,授業リスト!$A:$J,6,FALSE),"")</f>
        <v/>
      </c>
      <c r="J51" t="str">
        <f>IF($C51&lt;&gt;"",VLOOKUP($C51,授業リスト!$A:$J,7,FALSE),"")</f>
        <v/>
      </c>
      <c r="K51" s="30" t="str">
        <f>IF($C51&lt;&gt;"",VLOOKUP($C51,授業リスト!$A:$J,9,FALSE),"")</f>
        <v/>
      </c>
      <c r="L51" s="15"/>
      <c r="M51" s="25"/>
      <c r="N51" s="26"/>
    </row>
    <row r="52" spans="1:18" ht="18" customHeight="1">
      <c r="A52">
        <v>1</v>
      </c>
      <c r="B52" t="s">
        <v>47</v>
      </c>
      <c r="C52" s="87"/>
      <c r="D52" t="str">
        <f>IF($C52&lt;&gt;"",VLOOKUP($C52,授業リスト!$A:$J,2,FALSE),"")</f>
        <v/>
      </c>
      <c r="E52" t="str">
        <f>IF($C52&lt;&gt;"",VLOOKUP($C52,授業リスト!$A:$J,3,FALSE),"")</f>
        <v/>
      </c>
      <c r="F52" t="str">
        <f>IF($C52&lt;&gt;"",VLOOKUP($C52,授業リスト!$A:$J,8,FALSE),"")</f>
        <v/>
      </c>
      <c r="G52" t="str">
        <f>IF($C52&lt;&gt;"",VLOOKUP($C52,授業リスト!$A:$J,4,FALSE),"")</f>
        <v/>
      </c>
      <c r="H52" t="str">
        <f>IF($C52&lt;&gt;"",VLOOKUP($C52,授業リスト!$A:$J,5,FALSE),"")</f>
        <v/>
      </c>
      <c r="I52" t="str">
        <f>IF($C52&lt;&gt;"",VLOOKUP($C52,授業リスト!$A:$J,6,FALSE),"")</f>
        <v/>
      </c>
      <c r="J52" t="str">
        <f>IF($C52&lt;&gt;"",VLOOKUP($C52,授業リスト!$A:$J,7,FALSE),"")</f>
        <v/>
      </c>
      <c r="K52" s="30" t="str">
        <f>IF($C52&lt;&gt;"",VLOOKUP($C52,授業リスト!$A:$J,9,FALSE),"")</f>
        <v/>
      </c>
      <c r="L52" s="15"/>
    </row>
    <row r="53" spans="1:18" ht="18" customHeight="1">
      <c r="A53">
        <v>1</v>
      </c>
      <c r="B53" t="s">
        <v>47</v>
      </c>
      <c r="C53" s="87">
        <v>38071</v>
      </c>
      <c r="D53" t="str">
        <f>IF($C53&lt;&gt;"",VLOOKUP($C53,授業リスト!$A:$J,2,FALSE),"")</f>
        <v>Business Writing</v>
      </c>
      <c r="E53">
        <f>IF($C53&lt;&gt;"",VLOOKUP($C53,授業リスト!$A:$J,3,FALSE),"")</f>
        <v>0</v>
      </c>
      <c r="F53" t="str">
        <f>IF($C53&lt;&gt;"",VLOOKUP($C53,授業リスト!$A:$J,8,FALSE),"")</f>
        <v>Lewis Carroll</v>
      </c>
      <c r="G53">
        <f>IF($C53&lt;&gt;"",VLOOKUP($C53,授業リスト!$A:$J,4,FALSE),"")</f>
        <v>2</v>
      </c>
      <c r="H53" t="str">
        <f>IF($C53&lt;&gt;"",VLOOKUP($C53,授業リスト!$A:$J,5,FALSE),"")</f>
        <v>後</v>
      </c>
      <c r="I53" t="str">
        <f>IF($C53&lt;&gt;"",VLOOKUP($C53,授業リスト!$A:$J,6,FALSE),"")</f>
        <v>火</v>
      </c>
      <c r="J53">
        <f>IF($C53&lt;&gt;"",VLOOKUP($C53,授業リスト!$A:$J,7,FALSE),"")</f>
        <v>4</v>
      </c>
      <c r="K53" s="30" t="str">
        <f>IF($C53&lt;&gt;"",VLOOKUP($C53,授業リスト!$A:$J,9,FALSE),"")</f>
        <v>1～4</v>
      </c>
      <c r="L53" s="15"/>
    </row>
    <row r="54" spans="1:18" ht="18" customHeight="1">
      <c r="A54">
        <v>1</v>
      </c>
      <c r="B54" t="s">
        <v>47</v>
      </c>
      <c r="C54" s="87">
        <v>83002</v>
      </c>
      <c r="D54" t="str">
        <f>IF($C54&lt;&gt;"",VLOOKUP($C54,授業リスト!$A:$J,2,FALSE),"")</f>
        <v>Independent Study</v>
      </c>
      <c r="E54">
        <f>IF($C54&lt;&gt;"",VLOOKUP($C54,授業リスト!$A:$J,3,FALSE),"")</f>
        <v>0</v>
      </c>
      <c r="F54" t="str">
        <f>IF($C54&lt;&gt;"",VLOOKUP($C54,授業リスト!$A:$J,8,FALSE),"")</f>
        <v>Sir Isaac Newton</v>
      </c>
      <c r="G54">
        <f>IF($C54&lt;&gt;"",VLOOKUP($C54,授業リスト!$A:$J,4,FALSE),"")</f>
        <v>0</v>
      </c>
      <c r="H54" t="str">
        <f>IF($C54&lt;&gt;"",VLOOKUP($C54,授業リスト!$A:$J,5,FALSE),"")</f>
        <v>後</v>
      </c>
      <c r="I54" t="str">
        <f>IF($C54&lt;&gt;"",VLOOKUP($C54,授業リスト!$A:$J,6,FALSE),"")</f>
        <v>集中</v>
      </c>
      <c r="J54">
        <f>IF($C54&lt;&gt;"",VLOOKUP($C54,授業リスト!$A:$J,7,FALSE),"")</f>
        <v>0</v>
      </c>
      <c r="K54" s="30">
        <f>IF($C54&lt;&gt;"",VLOOKUP($C54,授業リスト!$A:$J,9,FALSE),"")</f>
        <v>1</v>
      </c>
      <c r="L54" s="15"/>
    </row>
    <row r="55" spans="1:18" ht="18" customHeight="1">
      <c r="A55" s="1">
        <v>1</v>
      </c>
      <c r="B55" s="1" t="s">
        <v>47</v>
      </c>
      <c r="C55" s="88"/>
      <c r="D55" s="1" t="str">
        <f>IF($C55&lt;&gt;"",VLOOKUP($C55,授業リスト!$A:$J,2,FALSE),"")</f>
        <v/>
      </c>
      <c r="E55" s="1" t="str">
        <f>IF($C55&lt;&gt;"",VLOOKUP($C55,授業リスト!$A:$J,3,FALSE),"")</f>
        <v/>
      </c>
      <c r="F55" s="1" t="str">
        <f>IF($C55&lt;&gt;"",VLOOKUP($C55,授業リスト!$A:$J,8,FALSE),"")</f>
        <v/>
      </c>
      <c r="G55" s="1" t="str">
        <f>IF($C55&lt;&gt;"",VLOOKUP($C55,授業リスト!$A:$J,4,FALSE),"")</f>
        <v/>
      </c>
      <c r="H55" s="1" t="str">
        <f>IF($C55&lt;&gt;"",VLOOKUP($C55,授業リスト!$A:$J,5,FALSE),"")</f>
        <v/>
      </c>
      <c r="I55" s="1" t="str">
        <f>IF($C55&lt;&gt;"",VLOOKUP($C55,授業リスト!$A:$J,6,FALSE),"")</f>
        <v/>
      </c>
      <c r="J55" s="1" t="str">
        <f>IF($C55&lt;&gt;"",VLOOKUP($C55,授業リスト!$A:$J,7,FALSE),"")</f>
        <v/>
      </c>
      <c r="K55" s="31" t="str">
        <f>IF($C55&lt;&gt;"",VLOOKUP($C55,授業リスト!$A:$J,9,FALSE),"")</f>
        <v/>
      </c>
      <c r="L55" s="15"/>
      <c r="M55" s="15"/>
      <c r="N55" s="15"/>
      <c r="O55" s="15"/>
      <c r="P55" s="15"/>
      <c r="Q55" s="15"/>
    </row>
    <row r="56" spans="1:18" ht="18" customHeight="1">
      <c r="A56" s="37">
        <v>2</v>
      </c>
      <c r="B56" s="37" t="s">
        <v>69</v>
      </c>
      <c r="C56" s="84"/>
      <c r="D56" s="37" t="str">
        <f>IF($C56&lt;&gt;"",VLOOKUP($C56,授業リスト!$A:$J,2,FALSE),"")</f>
        <v/>
      </c>
      <c r="E56" s="37" t="str">
        <f>IF($C56&lt;&gt;"",VLOOKUP($C56,授業リスト!$A:$J,3,FALSE),"")</f>
        <v/>
      </c>
      <c r="F56" s="37" t="str">
        <f>IF($C56&lt;&gt;"",VLOOKUP($C56,授業リスト!$A:$J,8,FALSE),"")</f>
        <v/>
      </c>
      <c r="G56" s="37" t="str">
        <f>IF($C56&lt;&gt;"",VLOOKUP($C56,授業リスト!$A:$J,4,FALSE),"")</f>
        <v/>
      </c>
      <c r="H56" s="37" t="str">
        <f>IF($C56&lt;&gt;"",VLOOKUP($C56,授業リスト!$A:$J,5,FALSE),"")</f>
        <v/>
      </c>
      <c r="I56" s="37" t="str">
        <f>IF($C56&lt;&gt;"",VLOOKUP($C56,授業リスト!$A:$J,6,FALSE),"")</f>
        <v/>
      </c>
      <c r="J56" s="37" t="str">
        <f>IF($C56&lt;&gt;"",VLOOKUP($C56,授業リスト!$A:$J,7,FALSE),"")</f>
        <v/>
      </c>
      <c r="K56" s="38" t="str">
        <f>IF($C56&lt;&gt;"",VLOOKUP($C56,授業リスト!$A:$J,9,FALSE),"")</f>
        <v/>
      </c>
      <c r="L56" s="2"/>
      <c r="M56" s="3" t="s">
        <v>1156</v>
      </c>
      <c r="N56" s="95" t="s">
        <v>1155</v>
      </c>
      <c r="O56" s="3" t="s">
        <v>1157</v>
      </c>
      <c r="P56" s="3" t="s">
        <v>1158</v>
      </c>
      <c r="Q56" s="3" t="s">
        <v>1159</v>
      </c>
      <c r="R56" s="2"/>
    </row>
    <row r="57" spans="1:18" ht="18" customHeight="1">
      <c r="A57" s="37">
        <v>2</v>
      </c>
      <c r="B57" s="37" t="s">
        <v>69</v>
      </c>
      <c r="C57" s="84">
        <v>37242</v>
      </c>
      <c r="D57" s="37" t="str">
        <f>IF($C57&lt;&gt;"",VLOOKUP($C57,授業リスト!$A:$J,2,FALSE),"")</f>
        <v>Special Education</v>
      </c>
      <c r="E57" s="37">
        <f>IF($C57&lt;&gt;"",VLOOKUP($C57,授業リスト!$A:$J,3,FALSE),"")</f>
        <v>0</v>
      </c>
      <c r="F57" s="37" t="str">
        <f>IF($C57&lt;&gt;"",VLOOKUP($C57,授業リスト!$A:$J,8,FALSE),"")</f>
        <v>Ernest Hemingway</v>
      </c>
      <c r="G57" s="37">
        <f>IF($C57&lt;&gt;"",VLOOKUP($C57,授業リスト!$A:$J,4,FALSE),"")</f>
        <v>2</v>
      </c>
      <c r="H57" s="37" t="str">
        <f>IF($C57&lt;&gt;"",VLOOKUP($C57,授業リスト!$A:$J,5,FALSE),"")</f>
        <v>前</v>
      </c>
      <c r="I57" s="37" t="str">
        <f>IF($C57&lt;&gt;"",VLOOKUP($C57,授業リスト!$A:$J,6,FALSE),"")</f>
        <v>金</v>
      </c>
      <c r="J57" s="37">
        <f>IF($C57&lt;&gt;"",VLOOKUP($C57,授業リスト!$A:$J,7,FALSE),"")</f>
        <v>3</v>
      </c>
      <c r="K57" s="38">
        <f>IF($C57&lt;&gt;"",VLOOKUP($C57,授業リスト!$A:$J,9,FALSE),"")</f>
        <v>2</v>
      </c>
      <c r="L57" s="4">
        <v>1</v>
      </c>
      <c r="M57" s="34"/>
      <c r="N57" s="34" t="s">
        <v>636</v>
      </c>
      <c r="O57" s="34"/>
      <c r="P57" s="34"/>
      <c r="Q57" s="34" t="s">
        <v>745</v>
      </c>
      <c r="R57" s="2"/>
    </row>
    <row r="58" spans="1:18" ht="18" customHeight="1">
      <c r="A58" s="37">
        <v>2</v>
      </c>
      <c r="B58" s="37" t="s">
        <v>69</v>
      </c>
      <c r="C58" s="84">
        <v>37462</v>
      </c>
      <c r="D58" s="37" t="str">
        <f>IF($C58&lt;&gt;"",VLOOKUP($C58,授業リスト!$A:$J,2,FALSE),"")</f>
        <v>Intercultural Understanding I</v>
      </c>
      <c r="E58" s="37" t="str">
        <f>IF($C58&lt;&gt;"",VLOOKUP($C58,授業リスト!$A:$J,3,FALSE),"")</f>
        <v/>
      </c>
      <c r="F58" s="37" t="str">
        <f>IF($C58&lt;&gt;"",VLOOKUP($C58,授業リスト!$A:$J,8,FALSE),"")</f>
        <v>Antoine de Saint-Exupéry</v>
      </c>
      <c r="G58" s="37">
        <f>IF($C58&lt;&gt;"",VLOOKUP($C58,授業リスト!$A:$J,4,FALSE),"")</f>
        <v>2</v>
      </c>
      <c r="H58" s="37" t="str">
        <f>IF($C58&lt;&gt;"",VLOOKUP($C58,授業リスト!$A:$J,5,FALSE),"")</f>
        <v>前</v>
      </c>
      <c r="I58" s="37" t="str">
        <f>IF($C58&lt;&gt;"",VLOOKUP($C58,授業リスト!$A:$J,6,FALSE),"")</f>
        <v>月</v>
      </c>
      <c r="J58" s="37">
        <f>IF($C58&lt;&gt;"",VLOOKUP($C58,授業リスト!$A:$J,7,FALSE),"")</f>
        <v>5</v>
      </c>
      <c r="K58" s="38" t="str">
        <f>IF($C58&lt;&gt;"",VLOOKUP($C58,授業リスト!$A:$J,9,FALSE),"")</f>
        <v>2～4</v>
      </c>
      <c r="L58" s="4">
        <v>2</v>
      </c>
      <c r="M58" s="34"/>
      <c r="N58" s="34" t="s">
        <v>737</v>
      </c>
      <c r="O58" s="34" t="s">
        <v>738</v>
      </c>
      <c r="P58" s="34" t="s">
        <v>930</v>
      </c>
      <c r="Q58" s="34" t="s">
        <v>745</v>
      </c>
      <c r="R58" s="2"/>
    </row>
    <row r="59" spans="1:18" ht="18" customHeight="1">
      <c r="A59" s="37">
        <v>2</v>
      </c>
      <c r="B59" s="37" t="s">
        <v>69</v>
      </c>
      <c r="C59" s="84">
        <v>37451</v>
      </c>
      <c r="D59" s="37" t="str">
        <f>IF($C59&lt;&gt;"",VLOOKUP($C59,授業リスト!$A:$J,2,FALSE),"")</f>
        <v>Introduction to English Linguistics II</v>
      </c>
      <c r="E59" s="37" t="str">
        <f>IF($C59&lt;&gt;"",VLOOKUP($C59,授業リスト!$A:$J,3,FALSE),"")</f>
        <v/>
      </c>
      <c r="F59" s="37" t="str">
        <f>IF($C59&lt;&gt;"",VLOOKUP($C59,授業リスト!$A:$J,8,FALSE),"")</f>
        <v>Marco Polo</v>
      </c>
      <c r="G59" s="37">
        <f>IF($C59&lt;&gt;"",VLOOKUP($C59,授業リスト!$A:$J,4,FALSE),"")</f>
        <v>2</v>
      </c>
      <c r="H59" s="37" t="str">
        <f>IF($C59&lt;&gt;"",VLOOKUP($C59,授業リスト!$A:$J,5,FALSE),"")</f>
        <v>前</v>
      </c>
      <c r="I59" s="37" t="str">
        <f>IF($C59&lt;&gt;"",VLOOKUP($C59,授業リスト!$A:$J,6,FALSE),"")</f>
        <v>水</v>
      </c>
      <c r="J59" s="37">
        <f>IF($C59&lt;&gt;"",VLOOKUP($C59,授業リスト!$A:$J,7,FALSE),"")</f>
        <v>5</v>
      </c>
      <c r="K59" s="38">
        <f>IF($C59&lt;&gt;"",VLOOKUP($C59,授業リスト!$A:$J,9,FALSE),"")</f>
        <v>2</v>
      </c>
      <c r="L59" s="4">
        <v>3</v>
      </c>
      <c r="M59" s="34"/>
      <c r="N59" s="34"/>
      <c r="O59" s="34"/>
      <c r="P59" s="34"/>
      <c r="Q59" s="34" t="s">
        <v>734</v>
      </c>
      <c r="R59" s="2"/>
    </row>
    <row r="60" spans="1:18" ht="18" customHeight="1">
      <c r="A60" s="37">
        <v>2</v>
      </c>
      <c r="B60" s="37" t="s">
        <v>69</v>
      </c>
      <c r="C60" s="84">
        <v>37097</v>
      </c>
      <c r="D60" s="37" t="str">
        <f>IF($C60&lt;&gt;"",VLOOKUP($C60,授業リスト!$A:$J,2,FALSE),"")</f>
        <v>Gen Ed Humanities</v>
      </c>
      <c r="E60" s="37" t="str">
        <f>IF($C60&lt;&gt;"",VLOOKUP($C60,授業リスト!$A:$J,3,FALSE),"")</f>
        <v>Literature B</v>
      </c>
      <c r="F60" s="37" t="str">
        <f>IF($C60&lt;&gt;"",VLOOKUP($C60,授業リスト!$A:$J,8,FALSE),"")</f>
        <v>Emily Dickinson</v>
      </c>
      <c r="G60" s="37">
        <f>IF($C60&lt;&gt;"",VLOOKUP($C60,授業リスト!$A:$J,4,FALSE),"")</f>
        <v>2</v>
      </c>
      <c r="H60" s="37" t="str">
        <f>IF($C60&lt;&gt;"",VLOOKUP($C60,授業リスト!$A:$J,5,FALSE),"")</f>
        <v>前</v>
      </c>
      <c r="I60" s="37" t="str">
        <f>IF($C60&lt;&gt;"",VLOOKUP($C60,授業リスト!$A:$J,6,FALSE),"")</f>
        <v>火</v>
      </c>
      <c r="J60" s="37">
        <f>IF($C60&lt;&gt;"",VLOOKUP($C60,授業リスト!$A:$J,7,FALSE),"")</f>
        <v>1</v>
      </c>
      <c r="K60" s="38" t="str">
        <f>IF($C60&lt;&gt;"",VLOOKUP($C60,授業リスト!$A:$J,9,FALSE),"")</f>
        <v>1～2</v>
      </c>
      <c r="L60" s="4">
        <v>4</v>
      </c>
      <c r="M60" s="34" t="s">
        <v>402</v>
      </c>
      <c r="N60" s="34" t="s">
        <v>933</v>
      </c>
      <c r="O60" s="34"/>
      <c r="P60" s="34" t="s">
        <v>910</v>
      </c>
      <c r="Q60" s="34"/>
      <c r="R60" s="2"/>
    </row>
    <row r="61" spans="1:18" ht="18" customHeight="1">
      <c r="A61" s="37">
        <v>2</v>
      </c>
      <c r="B61" s="37" t="s">
        <v>69</v>
      </c>
      <c r="C61" s="84">
        <v>37250</v>
      </c>
      <c r="D61" s="37" t="str">
        <f>IF($C61&lt;&gt;"",VLOOKUP($C61,授業リスト!$A:$J,2,FALSE),"")</f>
        <v>Theory and Methods of Student Guidance and Career Counseling</v>
      </c>
      <c r="E61" s="37">
        <f>IF($C61&lt;&gt;"",VLOOKUP($C61,授業リスト!$A:$J,3,FALSE),"")</f>
        <v>0</v>
      </c>
      <c r="F61" s="37" t="str">
        <f>IF($C61&lt;&gt;"",VLOOKUP($C61,授業リスト!$A:$J,8,FALSE),"")</f>
        <v>Florence Nightingale</v>
      </c>
      <c r="G61" s="37">
        <f>IF($C61&lt;&gt;"",VLOOKUP($C61,授業リスト!$A:$J,4,FALSE),"")</f>
        <v>2</v>
      </c>
      <c r="H61" s="37" t="str">
        <f>IF($C61&lt;&gt;"",VLOOKUP($C61,授業リスト!$A:$J,5,FALSE),"")</f>
        <v>前</v>
      </c>
      <c r="I61" s="37" t="str">
        <f>IF($C61&lt;&gt;"",VLOOKUP($C61,授業リスト!$A:$J,6,FALSE),"")</f>
        <v>水</v>
      </c>
      <c r="J61" s="37">
        <f>IF($C61&lt;&gt;"",VLOOKUP($C61,授業リスト!$A:$J,7,FALSE),"")</f>
        <v>2</v>
      </c>
      <c r="K61" s="38">
        <f>IF($C61&lt;&gt;"",VLOOKUP($C61,授業リスト!$A:$J,9,FALSE),"")</f>
        <v>2</v>
      </c>
      <c r="L61" s="4">
        <v>5</v>
      </c>
      <c r="M61" s="34" t="s">
        <v>916</v>
      </c>
      <c r="N61" s="34"/>
      <c r="O61" s="34" t="s">
        <v>909</v>
      </c>
      <c r="P61" s="34"/>
      <c r="Q61" s="34"/>
      <c r="R61" s="2"/>
    </row>
    <row r="62" spans="1:18" ht="18" customHeight="1">
      <c r="A62" s="37">
        <v>2</v>
      </c>
      <c r="B62" s="37" t="s">
        <v>69</v>
      </c>
      <c r="C62" s="84">
        <v>37474</v>
      </c>
      <c r="D62" s="37" t="str">
        <f>IF($C62&lt;&gt;"",VLOOKUP($C62,授業リスト!$A:$J,2,FALSE),"")</f>
        <v>Special Lectures in English Literature II</v>
      </c>
      <c r="E62" s="37" t="str">
        <f>IF($C62&lt;&gt;"",VLOOKUP($C62,授業リスト!$A:$J,3,FALSE),"")</f>
        <v/>
      </c>
      <c r="F62" s="37" t="str">
        <f>IF($C62&lt;&gt;"",VLOOKUP($C62,授業リスト!$A:$J,8,FALSE),"")</f>
        <v>Marie Curie</v>
      </c>
      <c r="G62" s="37">
        <f>IF($C62&lt;&gt;"",VLOOKUP($C62,授業リスト!$A:$J,4,FALSE),"")</f>
        <v>2</v>
      </c>
      <c r="H62" s="37" t="str">
        <f>IF($C62&lt;&gt;"",VLOOKUP($C62,授業リスト!$A:$J,5,FALSE),"")</f>
        <v>前</v>
      </c>
      <c r="I62" s="37" t="str">
        <f>IF($C62&lt;&gt;"",VLOOKUP($C62,授業リスト!$A:$J,6,FALSE),"")</f>
        <v>集中</v>
      </c>
      <c r="J62" s="37">
        <f>IF($C62&lt;&gt;"",VLOOKUP($C62,授業リスト!$A:$J,7,FALSE),"")</f>
        <v>0</v>
      </c>
      <c r="K62" s="38" t="str">
        <f>IF($C62&lt;&gt;"",VLOOKUP($C62,授業リスト!$A:$J,9,FALSE),"")</f>
        <v>2～4</v>
      </c>
      <c r="L62" s="4">
        <v>6</v>
      </c>
      <c r="M62" s="34"/>
      <c r="N62" s="34"/>
      <c r="O62" s="34"/>
      <c r="P62" s="34"/>
      <c r="Q62" s="34"/>
      <c r="R62" s="2"/>
    </row>
    <row r="63" spans="1:18" ht="18" customHeight="1">
      <c r="A63" s="37">
        <v>2</v>
      </c>
      <c r="B63" s="37" t="s">
        <v>69</v>
      </c>
      <c r="C63" s="84"/>
      <c r="D63" s="37" t="str">
        <f>IF($C63&lt;&gt;"",VLOOKUP($C63,授業リスト!$A:$J,2,FALSE),"")</f>
        <v/>
      </c>
      <c r="E63" s="37" t="str">
        <f>IF($C63&lt;&gt;"",VLOOKUP($C63,授業リスト!$A:$J,3,FALSE),"")</f>
        <v/>
      </c>
      <c r="F63" s="37" t="str">
        <f>IF($C63&lt;&gt;"",VLOOKUP($C63,授業リスト!$A:$J,8,FALSE),"")</f>
        <v/>
      </c>
      <c r="G63" s="37" t="str">
        <f>IF($C63&lt;&gt;"",VLOOKUP($C63,授業リスト!$A:$J,4,FALSE),"")</f>
        <v/>
      </c>
      <c r="H63" s="37" t="str">
        <f>IF($C63&lt;&gt;"",VLOOKUP($C63,授業リスト!$A:$J,5,FALSE),"")</f>
        <v/>
      </c>
      <c r="I63" s="37" t="str">
        <f>IF($C63&lt;&gt;"",VLOOKUP($C63,授業リスト!$A:$J,6,FALSE),"")</f>
        <v/>
      </c>
      <c r="J63" s="37" t="str">
        <f>IF($C63&lt;&gt;"",VLOOKUP($C63,授業リスト!$A:$J,7,FALSE),"")</f>
        <v/>
      </c>
      <c r="K63" s="38" t="str">
        <f>IF($C63&lt;&gt;"",VLOOKUP($C63,授業リスト!$A:$J,9,FALSE),"")</f>
        <v/>
      </c>
      <c r="L63" s="4" t="s">
        <v>1160</v>
      </c>
      <c r="M63" s="102" t="s">
        <v>928</v>
      </c>
      <c r="N63" s="103"/>
      <c r="O63" s="103"/>
      <c r="P63" s="103"/>
      <c r="Q63" s="104"/>
      <c r="R63" s="2"/>
    </row>
    <row r="64" spans="1:18" ht="18" customHeight="1">
      <c r="A64" s="37">
        <v>2</v>
      </c>
      <c r="B64" s="37" t="s">
        <v>69</v>
      </c>
      <c r="C64" s="84">
        <v>37476</v>
      </c>
      <c r="D64" s="37" t="str">
        <f>IF($C64&lt;&gt;"",VLOOKUP($C64,授業リスト!$A:$J,2,FALSE),"")</f>
        <v>English Education Exercises I</v>
      </c>
      <c r="E64" s="37" t="str">
        <f>IF($C64&lt;&gt;"",VLOOKUP($C64,授業リスト!$A:$J,3,FALSE),"")</f>
        <v/>
      </c>
      <c r="F64" s="37" t="str">
        <f>IF($C64&lt;&gt;"",VLOOKUP($C64,授業リスト!$A:$J,8,FALSE),"")</f>
        <v>Albert Einstein</v>
      </c>
      <c r="G64" s="37">
        <f>IF($C64&lt;&gt;"",VLOOKUP($C64,授業リスト!$A:$J,4,FALSE),"")</f>
        <v>2</v>
      </c>
      <c r="H64" s="37" t="str">
        <f>IF($C64&lt;&gt;"",VLOOKUP($C64,授業リスト!$A:$J,5,FALSE),"")</f>
        <v>前</v>
      </c>
      <c r="I64" s="37" t="str">
        <f>IF($C64&lt;&gt;"",VLOOKUP($C64,授業リスト!$A:$J,6,FALSE),"")</f>
        <v>木</v>
      </c>
      <c r="J64" s="37">
        <f>IF($C64&lt;&gt;"",VLOOKUP($C64,授業リスト!$A:$J,7,FALSE),"")</f>
        <v>2</v>
      </c>
      <c r="K64" s="38">
        <f>IF($C64&lt;&gt;"",VLOOKUP($C64,授業リスト!$A:$J,9,FALSE),"")</f>
        <v>2</v>
      </c>
      <c r="L64" s="15"/>
      <c r="M64" s="15"/>
      <c r="N64" s="15"/>
      <c r="O64" s="15"/>
      <c r="P64" s="15"/>
      <c r="Q64" s="15"/>
    </row>
    <row r="65" spans="1:18" ht="18" customHeight="1">
      <c r="A65" s="37">
        <v>2</v>
      </c>
      <c r="B65" s="37" t="s">
        <v>69</v>
      </c>
      <c r="C65" s="84">
        <v>37479</v>
      </c>
      <c r="D65" s="37" t="str">
        <f>IF($C65&lt;&gt;"",VLOOKUP($C65,授業リスト!$A:$J,2,FALSE),"")</f>
        <v>English Communication Studies Exercises I</v>
      </c>
      <c r="E65" s="37">
        <f>IF($C65&lt;&gt;"",VLOOKUP($C65,授業リスト!$A:$J,3,FALSE),"")</f>
        <v>0</v>
      </c>
      <c r="F65" s="37" t="str">
        <f>IF($C65&lt;&gt;"",VLOOKUP($C65,授業リスト!$A:$J,8,FALSE),"")</f>
        <v>Thomas Edison</v>
      </c>
      <c r="G65" s="37">
        <f>IF($C65&lt;&gt;"",VLOOKUP($C65,授業リスト!$A:$J,4,FALSE),"")</f>
        <v>2</v>
      </c>
      <c r="H65" s="37" t="str">
        <f>IF($C65&lt;&gt;"",VLOOKUP($C65,授業リスト!$A:$J,5,FALSE),"")</f>
        <v>前</v>
      </c>
      <c r="I65" s="37" t="str">
        <f>IF($C65&lt;&gt;"",VLOOKUP($C65,授業リスト!$A:$J,6,FALSE),"")</f>
        <v>火</v>
      </c>
      <c r="J65" s="37">
        <f>IF($C65&lt;&gt;"",VLOOKUP($C65,授業リスト!$A:$J,7,FALSE),"")</f>
        <v>4</v>
      </c>
      <c r="K65" s="38">
        <f>IF($C65&lt;&gt;"",VLOOKUP($C65,授業リスト!$A:$J,9,FALSE),"")</f>
        <v>2</v>
      </c>
      <c r="L65" s="15"/>
      <c r="M65" s="15"/>
      <c r="N65" s="15"/>
      <c r="O65" s="15"/>
      <c r="P65" s="15"/>
      <c r="Q65" s="15"/>
      <c r="R65" s="2"/>
    </row>
    <row r="66" spans="1:18" ht="18" customHeight="1">
      <c r="A66" s="37">
        <v>2</v>
      </c>
      <c r="B66" s="37" t="s">
        <v>69</v>
      </c>
      <c r="C66" s="84"/>
      <c r="D66" s="37" t="str">
        <f>IF($C66&lt;&gt;"",VLOOKUP($C66,授業リスト!$A:$J,2,FALSE),"")</f>
        <v/>
      </c>
      <c r="E66" s="37" t="str">
        <f>IF($C66&lt;&gt;"",VLOOKUP($C66,授業リスト!$A:$J,3,FALSE),"")</f>
        <v/>
      </c>
      <c r="F66" s="37" t="str">
        <f>IF($C66&lt;&gt;"",VLOOKUP($C66,授業リスト!$A:$J,8,FALSE),"")</f>
        <v/>
      </c>
      <c r="G66" s="37" t="str">
        <f>IF($C66&lt;&gt;"",VLOOKUP($C66,授業リスト!$A:$J,4,FALSE),"")</f>
        <v/>
      </c>
      <c r="H66" s="37" t="str">
        <f>IF($C66&lt;&gt;"",VLOOKUP($C66,授業リスト!$A:$J,5,FALSE),"")</f>
        <v/>
      </c>
      <c r="I66" s="37" t="str">
        <f>IF($C66&lt;&gt;"",VLOOKUP($C66,授業リスト!$A:$J,6,FALSE),"")</f>
        <v/>
      </c>
      <c r="J66" s="37" t="str">
        <f>IF($C66&lt;&gt;"",VLOOKUP($C66,授業リスト!$A:$J,7,FALSE),"")</f>
        <v/>
      </c>
      <c r="K66" s="38" t="str">
        <f>IF($C66&lt;&gt;"",VLOOKUP($C66,授業リスト!$A:$J,9,FALSE),"")</f>
        <v/>
      </c>
      <c r="L66" s="15"/>
      <c r="M66" s="15"/>
      <c r="N66" s="15"/>
      <c r="O66" s="15"/>
      <c r="P66" s="15"/>
      <c r="Q66" s="15"/>
      <c r="R66" s="2"/>
    </row>
    <row r="67" spans="1:18" ht="18" customHeight="1">
      <c r="A67" s="37">
        <v>2</v>
      </c>
      <c r="B67" s="37" t="s">
        <v>69</v>
      </c>
      <c r="C67" s="84"/>
      <c r="D67" s="37" t="str">
        <f>IF($C67&lt;&gt;"",VLOOKUP($C67,授業リスト!$A:$J,2,FALSE),"")</f>
        <v/>
      </c>
      <c r="E67" s="37" t="str">
        <f>IF($C67&lt;&gt;"",VLOOKUP($C67,授業リスト!$A:$J,3,FALSE),"")</f>
        <v/>
      </c>
      <c r="F67" s="37" t="str">
        <f>IF($C67&lt;&gt;"",VLOOKUP($C67,授業リスト!$A:$J,8,FALSE),"")</f>
        <v/>
      </c>
      <c r="G67" s="37" t="str">
        <f>IF($C67&lt;&gt;"",VLOOKUP($C67,授業リスト!$A:$J,4,FALSE),"")</f>
        <v/>
      </c>
      <c r="H67" s="37" t="str">
        <f>IF($C67&lt;&gt;"",VLOOKUP($C67,授業リスト!$A:$J,5,FALSE),"")</f>
        <v/>
      </c>
      <c r="I67" s="37" t="str">
        <f>IF($C67&lt;&gt;"",VLOOKUP($C67,授業リスト!$A:$J,6,FALSE),"")</f>
        <v/>
      </c>
      <c r="J67" s="37" t="str">
        <f>IF($C67&lt;&gt;"",VLOOKUP($C67,授業リスト!$A:$J,7,FALSE),"")</f>
        <v/>
      </c>
      <c r="K67" s="38" t="str">
        <f>IF($C67&lt;&gt;"",VLOOKUP($C67,授業リスト!$A:$J,9,FALSE),"")</f>
        <v/>
      </c>
      <c r="L67" s="15"/>
      <c r="M67" s="15"/>
      <c r="N67" s="15"/>
      <c r="O67" s="15"/>
      <c r="P67" s="15"/>
      <c r="Q67" s="15"/>
      <c r="R67" s="2"/>
    </row>
    <row r="68" spans="1:18" ht="18" customHeight="1">
      <c r="A68" s="37">
        <v>2</v>
      </c>
      <c r="B68" s="37" t="s">
        <v>69</v>
      </c>
      <c r="C68" s="85">
        <v>38125</v>
      </c>
      <c r="D68" s="37" t="str">
        <f>IF($C68&lt;&gt;"",VLOOKUP($C68,授業リスト!$A:$J,2,FALSE),"")</f>
        <v>Curriculum and Teaching Methods (Including ICT Utilization)</v>
      </c>
      <c r="E68" s="37">
        <f>IF($C68&lt;&gt;"",VLOOKUP($C68,授業リスト!$A:$J,3,FALSE),"")</f>
        <v>0</v>
      </c>
      <c r="F68" s="37" t="str">
        <f>IF($C68&lt;&gt;"",VLOOKUP($C68,授業リスト!$A:$J,8,FALSE),"")</f>
        <v>Emily Brontë</v>
      </c>
      <c r="G68" s="37">
        <f>IF($C68&lt;&gt;"",VLOOKUP($C68,授業リスト!$A:$J,4,FALSE),"")</f>
        <v>2</v>
      </c>
      <c r="H68" s="37" t="str">
        <f>IF($C68&lt;&gt;"",VLOOKUP($C68,授業リスト!$A:$J,5,FALSE),"")</f>
        <v>前</v>
      </c>
      <c r="I68" s="37" t="str">
        <f>IF($C68&lt;&gt;"",VLOOKUP($C68,授業リスト!$A:$J,6,FALSE),"")</f>
        <v>火</v>
      </c>
      <c r="J68" s="37">
        <f>IF($C68&lt;&gt;"",VLOOKUP($C68,授業リスト!$A:$J,7,FALSE),"")</f>
        <v>2</v>
      </c>
      <c r="K68" s="38">
        <f>IF($C68&lt;&gt;"",VLOOKUP($C68,授業リスト!$A:$J,9,FALSE),"")</f>
        <v>2</v>
      </c>
      <c r="L68" s="15"/>
      <c r="M68" s="15"/>
      <c r="N68" s="15"/>
      <c r="O68" s="15"/>
      <c r="P68" s="15"/>
      <c r="Q68" s="15"/>
      <c r="R68" s="2"/>
    </row>
    <row r="69" spans="1:18" ht="18" customHeight="1">
      <c r="A69" s="37">
        <v>2</v>
      </c>
      <c r="B69" s="37" t="s">
        <v>69</v>
      </c>
      <c r="C69" s="85">
        <v>37452</v>
      </c>
      <c r="D69" s="37" t="str">
        <f>IF($C69&lt;&gt;"",VLOOKUP($C69,授業リスト!$A:$J,2,FALSE),"")</f>
        <v>English Linguistics Exercises I</v>
      </c>
      <c r="E69" s="37" t="str">
        <f>IF($C69&lt;&gt;"",VLOOKUP($C69,授業リスト!$A:$J,3,FALSE),"")</f>
        <v/>
      </c>
      <c r="F69" s="37" t="str">
        <f>IF($C69&lt;&gt;"",VLOOKUP($C69,授業リスト!$A:$J,8,FALSE),"")</f>
        <v>Sir Walter Raleigh</v>
      </c>
      <c r="G69" s="37">
        <f>IF($C69&lt;&gt;"",VLOOKUP($C69,授業リスト!$A:$J,4,FALSE),"")</f>
        <v>2</v>
      </c>
      <c r="H69" s="37" t="str">
        <f>IF($C69&lt;&gt;"",VLOOKUP($C69,授業リスト!$A:$J,5,FALSE),"")</f>
        <v>前</v>
      </c>
      <c r="I69" s="37" t="str">
        <f>IF($C69&lt;&gt;"",VLOOKUP($C69,授業リスト!$A:$J,6,FALSE),"")</f>
        <v>木</v>
      </c>
      <c r="J69" s="37">
        <f>IF($C69&lt;&gt;"",VLOOKUP($C69,授業リスト!$A:$J,7,FALSE),"")</f>
        <v>4</v>
      </c>
      <c r="K69" s="38">
        <f>IF($C69&lt;&gt;"",VLOOKUP($C69,授業リスト!$A:$J,9,FALSE),"")</f>
        <v>2</v>
      </c>
      <c r="L69" s="15"/>
      <c r="M69" s="15"/>
      <c r="N69" s="15"/>
      <c r="O69" s="15"/>
      <c r="P69" s="15"/>
      <c r="Q69" s="15"/>
      <c r="R69" s="2"/>
    </row>
    <row r="70" spans="1:18" ht="18" customHeight="1">
      <c r="A70" s="37">
        <v>2</v>
      </c>
      <c r="B70" s="37" t="s">
        <v>69</v>
      </c>
      <c r="C70" s="85"/>
      <c r="D70" s="37" t="str">
        <f>IF($C70&lt;&gt;"",VLOOKUP($C70,授業リスト!$A:$J,2,FALSE),"")</f>
        <v/>
      </c>
      <c r="E70" s="37" t="str">
        <f>IF($C70&lt;&gt;"",VLOOKUP($C70,授業リスト!$A:$J,3,FALSE),"")</f>
        <v/>
      </c>
      <c r="F70" s="37" t="str">
        <f>IF($C70&lt;&gt;"",VLOOKUP($C70,授業リスト!$A:$J,8,FALSE),"")</f>
        <v/>
      </c>
      <c r="G70" s="37" t="str">
        <f>IF($C70&lt;&gt;"",VLOOKUP($C70,授業リスト!$A:$J,4,FALSE),"")</f>
        <v/>
      </c>
      <c r="H70" s="37" t="str">
        <f>IF($C70&lt;&gt;"",VLOOKUP($C70,授業リスト!$A:$J,5,FALSE),"")</f>
        <v/>
      </c>
      <c r="I70" s="37" t="str">
        <f>IF($C70&lt;&gt;"",VLOOKUP($C70,授業リスト!$A:$J,6,FALSE),"")</f>
        <v/>
      </c>
      <c r="J70" s="37" t="str">
        <f>IF($C70&lt;&gt;"",VLOOKUP($C70,授業リスト!$A:$J,7,FALSE),"")</f>
        <v/>
      </c>
      <c r="K70" s="38" t="str">
        <f>IF($C70&lt;&gt;"",VLOOKUP($C70,授業リスト!$A:$J,9,FALSE),"")</f>
        <v/>
      </c>
      <c r="L70" s="15"/>
      <c r="M70" s="15"/>
      <c r="N70" s="15"/>
      <c r="O70" s="15"/>
      <c r="P70" s="15"/>
      <c r="Q70" s="15"/>
      <c r="R70" s="2"/>
    </row>
    <row r="71" spans="1:18" ht="18" customHeight="1">
      <c r="A71" s="37">
        <v>2</v>
      </c>
      <c r="B71" s="37" t="s">
        <v>69</v>
      </c>
      <c r="C71" s="85">
        <v>38103</v>
      </c>
      <c r="D71" s="37" t="str">
        <f>IF($C71&lt;&gt;"",VLOOKUP($C71,授業リスト!$A:$J,2,FALSE),"")</f>
        <v>School Education Practice and Reflection II</v>
      </c>
      <c r="E71" s="37" t="str">
        <f>IF($C71&lt;&gt;"",VLOOKUP($C71,授業リスト!$A:$J,3,FALSE),"")</f>
        <v/>
      </c>
      <c r="F71" s="37" t="str">
        <f>IF($C71&lt;&gt;"",VLOOKUP($C71,授業リスト!$A:$J,8,FALSE),"")</f>
        <v>Antoine de Saint-Exupéry</v>
      </c>
      <c r="G71" s="37">
        <f>IF($C71&lt;&gt;"",VLOOKUP($C71,授業リスト!$A:$J,4,FALSE),"")</f>
        <v>2</v>
      </c>
      <c r="H71" s="37" t="str">
        <f>IF($C71&lt;&gt;"",VLOOKUP($C71,授業リスト!$A:$J,5,FALSE),"")</f>
        <v>通年</v>
      </c>
      <c r="I71" s="37" t="str">
        <f>IF($C71&lt;&gt;"",VLOOKUP($C71,授業リスト!$A:$J,6,FALSE),"")</f>
        <v>金</v>
      </c>
      <c r="J71" s="37" t="str">
        <f>IF($C71&lt;&gt;"",VLOOKUP($C71,授業リスト!$A:$J,7,FALSE),"")</f>
        <v>1-2</v>
      </c>
      <c r="K71" s="38">
        <f>IF($C71&lt;&gt;"",VLOOKUP($C71,授業リスト!$A:$J,9,FALSE),"")</f>
        <v>2</v>
      </c>
      <c r="L71" s="15"/>
      <c r="M71" s="15"/>
      <c r="N71" s="15"/>
      <c r="O71" s="15"/>
      <c r="P71" s="15"/>
      <c r="Q71" s="15"/>
      <c r="R71" s="2"/>
    </row>
    <row r="72" spans="1:18" ht="18" customHeight="1">
      <c r="A72" s="37">
        <v>2</v>
      </c>
      <c r="B72" s="37" t="s">
        <v>69</v>
      </c>
      <c r="C72" s="85"/>
      <c r="D72" s="37" t="str">
        <f>IF($C72&lt;&gt;"",VLOOKUP($C72,授業リスト!$A:$J,2,FALSE),"")</f>
        <v/>
      </c>
      <c r="E72" s="37" t="str">
        <f>IF($C72&lt;&gt;"",VLOOKUP($C72,授業リスト!$A:$J,3,FALSE),"")</f>
        <v/>
      </c>
      <c r="F72" s="37" t="str">
        <f>IF($C72&lt;&gt;"",VLOOKUP($C72,授業リスト!$A:$J,8,FALSE),"")</f>
        <v/>
      </c>
      <c r="G72" s="37" t="str">
        <f>IF($C72&lt;&gt;"",VLOOKUP($C72,授業リスト!$A:$J,4,FALSE),"")</f>
        <v/>
      </c>
      <c r="H72" s="37" t="str">
        <f>IF($C72&lt;&gt;"",VLOOKUP($C72,授業リスト!$A:$J,5,FALSE),"")</f>
        <v/>
      </c>
      <c r="I72" s="37" t="str">
        <f>IF($C72&lt;&gt;"",VLOOKUP($C72,授業リスト!$A:$J,6,FALSE),"")</f>
        <v/>
      </c>
      <c r="J72" s="37" t="str">
        <f>IF($C72&lt;&gt;"",VLOOKUP($C72,授業リスト!$A:$J,7,FALSE),"")</f>
        <v/>
      </c>
      <c r="K72" s="38" t="str">
        <f>IF($C72&lt;&gt;"",VLOOKUP($C72,授業リスト!$A:$J,9,FALSE),"")</f>
        <v/>
      </c>
      <c r="L72" s="15"/>
      <c r="M72" s="15"/>
      <c r="N72" s="15"/>
      <c r="O72" s="15"/>
      <c r="P72" s="15"/>
      <c r="Q72" s="15"/>
      <c r="R72" s="2"/>
    </row>
    <row r="73" spans="1:18" ht="18" customHeight="1">
      <c r="A73" s="37">
        <v>2</v>
      </c>
      <c r="B73" s="37" t="s">
        <v>69</v>
      </c>
      <c r="C73" s="85"/>
      <c r="D73" s="37" t="str">
        <f>IF($C73&lt;&gt;"",VLOOKUP($C73,授業リスト!$A:$J,2,FALSE),"")</f>
        <v/>
      </c>
      <c r="E73" s="37" t="str">
        <f>IF($C73&lt;&gt;"",VLOOKUP($C73,授業リスト!$A:$J,3,FALSE),"")</f>
        <v/>
      </c>
      <c r="F73" s="37" t="str">
        <f>IF($C73&lt;&gt;"",VLOOKUP($C73,授業リスト!$A:$J,8,FALSE),"")</f>
        <v/>
      </c>
      <c r="G73" s="37" t="str">
        <f>IF($C73&lt;&gt;"",VLOOKUP($C73,授業リスト!$A:$J,4,FALSE),"")</f>
        <v/>
      </c>
      <c r="H73" s="37" t="str">
        <f>IF($C73&lt;&gt;"",VLOOKUP($C73,授業リスト!$A:$J,5,FALSE),"")</f>
        <v/>
      </c>
      <c r="I73" s="37" t="str">
        <f>IF($C73&lt;&gt;"",VLOOKUP($C73,授業リスト!$A:$J,6,FALSE),"")</f>
        <v/>
      </c>
      <c r="J73" s="37" t="str">
        <f>IF($C73&lt;&gt;"",VLOOKUP($C73,授業リスト!$A:$J,7,FALSE),"")</f>
        <v/>
      </c>
      <c r="K73" s="38" t="str">
        <f>IF($C73&lt;&gt;"",VLOOKUP($C73,授業リスト!$A:$J,9,FALSE),"")</f>
        <v/>
      </c>
      <c r="L73" s="15"/>
      <c r="M73" s="15"/>
      <c r="N73" s="15"/>
      <c r="O73" s="15"/>
      <c r="P73" s="15"/>
      <c r="Q73" s="15"/>
    </row>
    <row r="74" spans="1:18" ht="18" customHeight="1">
      <c r="A74" s="37">
        <v>2</v>
      </c>
      <c r="B74" s="37" t="s">
        <v>69</v>
      </c>
      <c r="C74" s="85"/>
      <c r="D74" s="37" t="str">
        <f>IF($C74&lt;&gt;"",VLOOKUP($C74,授業リスト!$A:$J,2,FALSE),"")</f>
        <v/>
      </c>
      <c r="E74" s="37" t="str">
        <f>IF($C74&lt;&gt;"",VLOOKUP($C74,授業リスト!$A:$J,3,FALSE),"")</f>
        <v/>
      </c>
      <c r="F74" s="37" t="str">
        <f>IF($C74&lt;&gt;"",VLOOKUP($C74,授業リスト!$A:$J,8,FALSE),"")</f>
        <v/>
      </c>
      <c r="G74" s="37" t="str">
        <f>IF($C74&lt;&gt;"",VLOOKUP($C74,授業リスト!$A:$J,4,FALSE),"")</f>
        <v/>
      </c>
      <c r="H74" s="37" t="str">
        <f>IF($C74&lt;&gt;"",VLOOKUP($C74,授業リスト!$A:$J,5,FALSE),"")</f>
        <v/>
      </c>
      <c r="I74" s="37" t="str">
        <f>IF($C74&lt;&gt;"",VLOOKUP($C74,授業リスト!$A:$J,6,FALSE),"")</f>
        <v/>
      </c>
      <c r="J74" s="37" t="str">
        <f>IF($C74&lt;&gt;"",VLOOKUP($C74,授業リスト!$A:$J,7,FALSE),"")</f>
        <v/>
      </c>
      <c r="K74" s="38" t="str">
        <f>IF($C74&lt;&gt;"",VLOOKUP($C74,授業リスト!$A:$J,9,FALSE),"")</f>
        <v/>
      </c>
      <c r="L74" s="15"/>
      <c r="M74" s="15"/>
      <c r="N74" s="15"/>
      <c r="O74" s="15"/>
      <c r="P74" s="15"/>
      <c r="Q74" s="15"/>
      <c r="R74" s="2"/>
    </row>
    <row r="75" spans="1:18" ht="18" customHeight="1">
      <c r="A75" s="37">
        <v>2</v>
      </c>
      <c r="B75" s="37" t="s">
        <v>69</v>
      </c>
      <c r="C75" s="85"/>
      <c r="D75" s="37" t="str">
        <f>IF($C75&lt;&gt;"",VLOOKUP($C75,授業リスト!$A:$J,2,FALSE),"")</f>
        <v/>
      </c>
      <c r="E75" s="37" t="str">
        <f>IF($C75&lt;&gt;"",VLOOKUP($C75,授業リスト!$A:$J,3,FALSE),"")</f>
        <v/>
      </c>
      <c r="F75" s="37" t="str">
        <f>IF($C75&lt;&gt;"",VLOOKUP($C75,授業リスト!$A:$J,8,FALSE),"")</f>
        <v/>
      </c>
      <c r="G75" s="37" t="str">
        <f>IF($C75&lt;&gt;"",VLOOKUP($C75,授業リスト!$A:$J,4,FALSE),"")</f>
        <v/>
      </c>
      <c r="H75" s="37" t="str">
        <f>IF($C75&lt;&gt;"",VLOOKUP($C75,授業リスト!$A:$J,5,FALSE),"")</f>
        <v/>
      </c>
      <c r="I75" s="37" t="str">
        <f>IF($C75&lt;&gt;"",VLOOKUP($C75,授業リスト!$A:$J,6,FALSE),"")</f>
        <v/>
      </c>
      <c r="J75" s="37" t="str">
        <f>IF($C75&lt;&gt;"",VLOOKUP($C75,授業リスト!$A:$J,7,FALSE),"")</f>
        <v/>
      </c>
      <c r="K75" s="38" t="str">
        <f>IF($C75&lt;&gt;"",VLOOKUP($C75,授業リスト!$A:$J,9,FALSE),"")</f>
        <v/>
      </c>
      <c r="L75" s="15"/>
      <c r="M75" s="15"/>
      <c r="N75" s="15"/>
      <c r="O75" s="15"/>
      <c r="P75" s="15"/>
      <c r="Q75" s="15"/>
      <c r="R75" s="2"/>
    </row>
    <row r="76" spans="1:18" ht="18" customHeight="1">
      <c r="A76" s="37">
        <v>2</v>
      </c>
      <c r="B76" s="37" t="s">
        <v>69</v>
      </c>
      <c r="C76" s="85"/>
      <c r="D76" s="37" t="str">
        <f>IF($C76&lt;&gt;"",VLOOKUP($C76,授業リスト!$A:$J,2,FALSE),"")</f>
        <v/>
      </c>
      <c r="E76" s="37" t="str">
        <f>IF($C76&lt;&gt;"",VLOOKUP($C76,授業リスト!$A:$J,3,FALSE),"")</f>
        <v/>
      </c>
      <c r="F76" s="37" t="str">
        <f>IF($C76&lt;&gt;"",VLOOKUP($C76,授業リスト!$A:$J,8,FALSE),"")</f>
        <v/>
      </c>
      <c r="G76" s="37" t="str">
        <f>IF($C76&lt;&gt;"",VLOOKUP($C76,授業リスト!$A:$J,4,FALSE),"")</f>
        <v/>
      </c>
      <c r="H76" s="37" t="str">
        <f>IF($C76&lt;&gt;"",VLOOKUP($C76,授業リスト!$A:$J,5,FALSE),"")</f>
        <v/>
      </c>
      <c r="I76" s="37" t="str">
        <f>IF($C76&lt;&gt;"",VLOOKUP($C76,授業リスト!$A:$J,6,FALSE),"")</f>
        <v/>
      </c>
      <c r="J76" s="37" t="str">
        <f>IF($C76&lt;&gt;"",VLOOKUP($C76,授業リスト!$A:$J,7,FALSE),"")</f>
        <v/>
      </c>
      <c r="K76" s="38" t="str">
        <f>IF($C76&lt;&gt;"",VLOOKUP($C76,授業リスト!$A:$J,9,FALSE),"")</f>
        <v/>
      </c>
      <c r="L76" s="15"/>
      <c r="M76" s="15"/>
      <c r="N76" s="15"/>
      <c r="O76" s="15"/>
      <c r="P76" s="15"/>
      <c r="Q76" s="15"/>
      <c r="R76" s="2"/>
    </row>
    <row r="77" spans="1:18" ht="18" customHeight="1">
      <c r="A77" s="37">
        <v>2</v>
      </c>
      <c r="B77" s="37" t="s">
        <v>69</v>
      </c>
      <c r="C77" s="85"/>
      <c r="D77" s="37" t="str">
        <f>IF($C77&lt;&gt;"",VLOOKUP($C77,授業リスト!$A:$J,2,FALSE),"")</f>
        <v/>
      </c>
      <c r="E77" s="37" t="str">
        <f>IF($C77&lt;&gt;"",VLOOKUP($C77,授業リスト!$A:$J,3,FALSE),"")</f>
        <v/>
      </c>
      <c r="F77" s="37" t="str">
        <f>IF($C77&lt;&gt;"",VLOOKUP($C77,授業リスト!$A:$J,8,FALSE),"")</f>
        <v/>
      </c>
      <c r="G77" s="37" t="str">
        <f>IF($C77&lt;&gt;"",VLOOKUP($C77,授業リスト!$A:$J,4,FALSE),"")</f>
        <v/>
      </c>
      <c r="H77" s="37" t="str">
        <f>IF($C77&lt;&gt;"",VLOOKUP($C77,授業リスト!$A:$J,5,FALSE),"")</f>
        <v/>
      </c>
      <c r="I77" s="37" t="str">
        <f>IF($C77&lt;&gt;"",VLOOKUP($C77,授業リスト!$A:$J,6,FALSE),"")</f>
        <v/>
      </c>
      <c r="J77" s="37" t="str">
        <f>IF($C77&lt;&gt;"",VLOOKUP($C77,授業リスト!$A:$J,7,FALSE),"")</f>
        <v/>
      </c>
      <c r="K77" s="38" t="str">
        <f>IF($C77&lt;&gt;"",VLOOKUP($C77,授業リスト!$A:$J,9,FALSE),"")</f>
        <v/>
      </c>
      <c r="L77" s="15"/>
      <c r="M77" s="15"/>
      <c r="N77" s="15"/>
      <c r="O77" s="15"/>
      <c r="P77" s="15"/>
      <c r="Q77" s="15"/>
      <c r="R77" s="2"/>
    </row>
    <row r="78" spans="1:18" ht="18" customHeight="1">
      <c r="A78" s="37">
        <v>2</v>
      </c>
      <c r="B78" s="37" t="s">
        <v>69</v>
      </c>
      <c r="C78" s="85"/>
      <c r="D78" s="37" t="str">
        <f>IF($C78&lt;&gt;"",VLOOKUP($C78,授業リスト!$A:$J,2,FALSE),"")</f>
        <v/>
      </c>
      <c r="E78" s="37" t="str">
        <f>IF($C78&lt;&gt;"",VLOOKUP($C78,授業リスト!$A:$J,3,FALSE),"")</f>
        <v/>
      </c>
      <c r="F78" s="37" t="str">
        <f>IF($C78&lt;&gt;"",VLOOKUP($C78,授業リスト!$A:$J,8,FALSE),"")</f>
        <v/>
      </c>
      <c r="G78" s="37" t="str">
        <f>IF($C78&lt;&gt;"",VLOOKUP($C78,授業リスト!$A:$J,4,FALSE),"")</f>
        <v/>
      </c>
      <c r="H78" s="37" t="str">
        <f>IF($C78&lt;&gt;"",VLOOKUP($C78,授業リスト!$A:$J,5,FALSE),"")</f>
        <v/>
      </c>
      <c r="I78" s="37" t="str">
        <f>IF($C78&lt;&gt;"",VLOOKUP($C78,授業リスト!$A:$J,6,FALSE),"")</f>
        <v/>
      </c>
      <c r="J78" s="37" t="str">
        <f>IF($C78&lt;&gt;"",VLOOKUP($C78,授業リスト!$A:$J,7,FALSE),"")</f>
        <v/>
      </c>
      <c r="K78" s="38" t="str">
        <f>IF($C78&lt;&gt;"",VLOOKUP($C78,授業リスト!$A:$J,9,FALSE),"")</f>
        <v/>
      </c>
      <c r="L78" s="15"/>
      <c r="M78" s="15"/>
      <c r="N78" s="15"/>
      <c r="O78" s="15"/>
      <c r="P78" s="15"/>
      <c r="Q78" s="15"/>
      <c r="R78" s="2"/>
    </row>
    <row r="79" spans="1:18" ht="18" customHeight="1">
      <c r="A79" s="37">
        <v>2</v>
      </c>
      <c r="B79" s="37" t="s">
        <v>69</v>
      </c>
      <c r="C79" s="85"/>
      <c r="D79" s="37" t="str">
        <f>IF($C79&lt;&gt;"",VLOOKUP($C79,授業リスト!$A:$J,2,FALSE),"")</f>
        <v/>
      </c>
      <c r="E79" s="37" t="str">
        <f>IF($C79&lt;&gt;"",VLOOKUP($C79,授業リスト!$A:$J,3,FALSE),"")</f>
        <v/>
      </c>
      <c r="F79" s="37" t="str">
        <f>IF($C79&lt;&gt;"",VLOOKUP($C79,授業リスト!$A:$J,8,FALSE),"")</f>
        <v/>
      </c>
      <c r="G79" s="37" t="str">
        <f>IF($C79&lt;&gt;"",VLOOKUP($C79,授業リスト!$A:$J,4,FALSE),"")</f>
        <v/>
      </c>
      <c r="H79" s="37" t="str">
        <f>IF($C79&lt;&gt;"",VLOOKUP($C79,授業リスト!$A:$J,5,FALSE),"")</f>
        <v/>
      </c>
      <c r="I79" s="37" t="str">
        <f>IF($C79&lt;&gt;"",VLOOKUP($C79,授業リスト!$A:$J,6,FALSE),"")</f>
        <v/>
      </c>
      <c r="J79" s="37" t="str">
        <f>IF($C79&lt;&gt;"",VLOOKUP($C79,授業リスト!$A:$J,7,FALSE),"")</f>
        <v/>
      </c>
      <c r="K79" s="38" t="str">
        <f>IF($C79&lt;&gt;"",VLOOKUP($C79,授業リスト!$A:$J,9,FALSE),"")</f>
        <v/>
      </c>
      <c r="L79" s="15"/>
      <c r="M79" s="15"/>
      <c r="N79" s="15"/>
      <c r="O79" s="15"/>
      <c r="P79" s="15"/>
      <c r="Q79" s="15"/>
      <c r="R79" s="2"/>
    </row>
    <row r="80" spans="1:18" ht="18" customHeight="1">
      <c r="A80" s="37">
        <v>2</v>
      </c>
      <c r="B80" s="37" t="s">
        <v>69</v>
      </c>
      <c r="C80" s="85">
        <v>38074</v>
      </c>
      <c r="D80" s="37" t="str">
        <f>IF($C80&lt;&gt;"",VLOOKUP($C80,授業リスト!$A:$J,2,FALSE),"")</f>
        <v>Business Communication &amp; IT</v>
      </c>
      <c r="E80" s="37">
        <f>IF($C80&lt;&gt;"",VLOOKUP($C80,授業リスト!$A:$J,3,FALSE),"")</f>
        <v>0</v>
      </c>
      <c r="F80" s="37" t="str">
        <f>IF($C80&lt;&gt;"",VLOOKUP($C80,授業リスト!$A:$J,8,FALSE),"")</f>
        <v>Leonardo da Vinci</v>
      </c>
      <c r="G80" s="37">
        <f>IF($C80&lt;&gt;"",VLOOKUP($C80,授業リスト!$A:$J,4,FALSE),"")</f>
        <v>2</v>
      </c>
      <c r="H80" s="37" t="str">
        <f>IF($C80&lt;&gt;"",VLOOKUP($C80,授業リスト!$A:$J,5,FALSE),"")</f>
        <v>前</v>
      </c>
      <c r="I80" s="37" t="str">
        <f>IF($C80&lt;&gt;"",VLOOKUP($C80,授業リスト!$A:$J,6,FALSE),"")</f>
        <v>月</v>
      </c>
      <c r="J80" s="37">
        <f>IF($C80&lt;&gt;"",VLOOKUP($C80,授業リスト!$A:$J,7,FALSE),"")</f>
        <v>4</v>
      </c>
      <c r="K80" s="38" t="str">
        <f>IF($C80&lt;&gt;"",VLOOKUP($C80,授業リスト!$A:$J,9,FALSE),"")</f>
        <v>1～4</v>
      </c>
      <c r="L80" s="15"/>
      <c r="M80" s="15"/>
      <c r="N80" s="15"/>
      <c r="O80" s="15"/>
      <c r="P80" s="15"/>
      <c r="Q80" s="15"/>
      <c r="R80" s="2"/>
    </row>
    <row r="81" spans="1:18" ht="18" customHeight="1">
      <c r="A81" s="40">
        <v>2</v>
      </c>
      <c r="B81" s="40" t="s">
        <v>69</v>
      </c>
      <c r="C81" s="86"/>
      <c r="D81" s="40" t="str">
        <f>IF($C81&lt;&gt;"",VLOOKUP($C81,授業リスト!$A:$J,2,FALSE),"")</f>
        <v/>
      </c>
      <c r="E81" s="40" t="str">
        <f>IF($C81&lt;&gt;"",VLOOKUP($C81,授業リスト!$A:$J,3,FALSE),"")</f>
        <v/>
      </c>
      <c r="F81" s="40" t="str">
        <f>IF($C81&lt;&gt;"",VLOOKUP($C81,授業リスト!$A:$J,8,FALSE),"")</f>
        <v/>
      </c>
      <c r="G81" s="40" t="str">
        <f>IF($C81&lt;&gt;"",VLOOKUP($C81,授業リスト!$A:$J,4,FALSE),"")</f>
        <v/>
      </c>
      <c r="H81" s="40" t="str">
        <f>IF($C81&lt;&gt;"",VLOOKUP($C81,授業リスト!$A:$J,5,FALSE),"")</f>
        <v/>
      </c>
      <c r="I81" s="40" t="str">
        <f>IF($C81&lt;&gt;"",VLOOKUP($C81,授業リスト!$A:$J,6,FALSE),"")</f>
        <v/>
      </c>
      <c r="J81" s="40" t="str">
        <f>IF($C81&lt;&gt;"",VLOOKUP($C81,授業リスト!$A:$J,7,FALSE),"")</f>
        <v/>
      </c>
      <c r="K81" s="41" t="str">
        <f>IF($C81&lt;&gt;"",VLOOKUP($C81,授業リスト!$A:$J,9,FALSE),"")</f>
        <v/>
      </c>
      <c r="L81" s="15"/>
      <c r="M81" s="15"/>
      <c r="N81" s="15"/>
      <c r="O81" s="15"/>
      <c r="P81" s="15"/>
      <c r="Q81" s="15"/>
      <c r="R81" s="2"/>
    </row>
    <row r="82" spans="1:18" ht="18" customHeight="1">
      <c r="A82">
        <v>2</v>
      </c>
      <c r="B82" t="s">
        <v>47</v>
      </c>
      <c r="C82" s="87">
        <v>37103</v>
      </c>
      <c r="D82" t="str">
        <f>IF($C82&lt;&gt;"",VLOOKUP($C82,授業リスト!$A:$J,2,FALSE),"")</f>
        <v>Gen Ed Social Sciences</v>
      </c>
      <c r="E82" t="str">
        <f>IF($C82&lt;&gt;"",VLOOKUP($C82,授業リスト!$A:$J,3,FALSE),"")</f>
        <v>Government</v>
      </c>
      <c r="F82" t="str">
        <f>IF($C82&lt;&gt;"",VLOOKUP($C82,授業リスト!$A:$J,8,FALSE),"")</f>
        <v>Amelia Earhart</v>
      </c>
      <c r="G82">
        <f>IF($C82&lt;&gt;"",VLOOKUP($C82,授業リスト!$A:$J,4,FALSE),"")</f>
        <v>2</v>
      </c>
      <c r="H82" t="str">
        <f>IF($C82&lt;&gt;"",VLOOKUP($C82,授業リスト!$A:$J,5,FALSE),"")</f>
        <v>後</v>
      </c>
      <c r="I82" t="str">
        <f>IF($C82&lt;&gt;"",VLOOKUP($C82,授業リスト!$A:$J,6,FALSE),"")</f>
        <v>木</v>
      </c>
      <c r="J82">
        <f>IF($C82&lt;&gt;"",VLOOKUP($C82,授業リスト!$A:$J,7,FALSE),"")</f>
        <v>1</v>
      </c>
      <c r="K82" s="30" t="str">
        <f>IF($C82&lt;&gt;"",VLOOKUP($C82,授業リスト!$A:$J,9,FALSE),"")</f>
        <v>1～2</v>
      </c>
      <c r="L82" s="2"/>
      <c r="M82" s="3" t="s">
        <v>1156</v>
      </c>
      <c r="N82" s="95" t="s">
        <v>1155</v>
      </c>
      <c r="O82" s="3" t="s">
        <v>1157</v>
      </c>
      <c r="P82" s="3" t="s">
        <v>1158</v>
      </c>
      <c r="Q82" s="3" t="s">
        <v>1159</v>
      </c>
      <c r="R82" s="2"/>
    </row>
    <row r="83" spans="1:18" ht="18" customHeight="1">
      <c r="A83">
        <v>2</v>
      </c>
      <c r="B83" t="s">
        <v>47</v>
      </c>
      <c r="C83" s="87">
        <v>37475</v>
      </c>
      <c r="D83" t="str">
        <f>IF($C83&lt;&gt;"",VLOOKUP($C83,授業リスト!$A:$J,2,FALSE),"")</f>
        <v>Special Lectures in English Literature III</v>
      </c>
      <c r="E83" t="str">
        <f>IF($C83&lt;&gt;"",VLOOKUP($C83,授業リスト!$A:$J,3,FALSE),"")</f>
        <v/>
      </c>
      <c r="F83" t="str">
        <f>IF($C83&lt;&gt;"",VLOOKUP($C83,授業リスト!$A:$J,8,FALSE),"")</f>
        <v>Charles Dickens</v>
      </c>
      <c r="G83">
        <f>IF($C83&lt;&gt;"",VLOOKUP($C83,授業リスト!$A:$J,4,FALSE),"")</f>
        <v>2</v>
      </c>
      <c r="H83" t="str">
        <f>IF($C83&lt;&gt;"",VLOOKUP($C83,授業リスト!$A:$J,5,FALSE),"")</f>
        <v>未定</v>
      </c>
      <c r="I83" t="str">
        <f>IF($C83&lt;&gt;"",VLOOKUP($C83,授業リスト!$A:$J,6,FALSE),"")</f>
        <v>未定</v>
      </c>
      <c r="J83" t="str">
        <f>IF($C83&lt;&gt;"",VLOOKUP($C83,授業リスト!$A:$J,7,FALSE),"")</f>
        <v>未定</v>
      </c>
      <c r="K83" s="30" t="str">
        <f>IF($C83&lt;&gt;"",VLOOKUP($C83,授業リスト!$A:$J,9,FALSE),"")</f>
        <v>2～4</v>
      </c>
      <c r="L83" s="4">
        <v>1</v>
      </c>
      <c r="M83" s="34"/>
      <c r="N83" s="34"/>
      <c r="O83" s="34"/>
      <c r="P83" s="34" t="s">
        <v>640</v>
      </c>
      <c r="Q83" s="34" t="s">
        <v>745</v>
      </c>
      <c r="R83" s="2"/>
    </row>
    <row r="84" spans="1:18" ht="18" customHeight="1">
      <c r="A84">
        <v>2</v>
      </c>
      <c r="B84" t="s">
        <v>47</v>
      </c>
      <c r="C84" s="87"/>
      <c r="D84" t="str">
        <f>IF($C84&lt;&gt;"",VLOOKUP($C84,授業リスト!$A:$J,2,FALSE),"")</f>
        <v/>
      </c>
      <c r="E84" t="str">
        <f>IF($C84&lt;&gt;"",VLOOKUP($C84,授業リスト!$A:$J,3,FALSE),"")</f>
        <v/>
      </c>
      <c r="F84" t="str">
        <f>IF($C84&lt;&gt;"",VLOOKUP($C84,授業リスト!$A:$J,8,FALSE),"")</f>
        <v/>
      </c>
      <c r="G84" t="str">
        <f>IF($C84&lt;&gt;"",VLOOKUP($C84,授業リスト!$A:$J,4,FALSE),"")</f>
        <v/>
      </c>
      <c r="H84" t="str">
        <f>IF($C84&lt;&gt;"",VLOOKUP($C84,授業リスト!$A:$J,5,FALSE),"")</f>
        <v/>
      </c>
      <c r="I84" t="str">
        <f>IF($C84&lt;&gt;"",VLOOKUP($C84,授業リスト!$A:$J,6,FALSE),"")</f>
        <v/>
      </c>
      <c r="J84" t="str">
        <f>IF($C84&lt;&gt;"",VLOOKUP($C84,授業リスト!$A:$J,7,FALSE),"")</f>
        <v/>
      </c>
      <c r="K84" s="30" t="str">
        <f>IF($C84&lt;&gt;"",VLOOKUP($C84,授業リスト!$A:$J,9,FALSE),"")</f>
        <v/>
      </c>
      <c r="L84" s="4">
        <v>2</v>
      </c>
      <c r="M84" s="34"/>
      <c r="N84" s="34" t="s">
        <v>403</v>
      </c>
      <c r="O84" s="34" t="s">
        <v>739</v>
      </c>
      <c r="P84" s="34" t="s">
        <v>938</v>
      </c>
      <c r="Q84" s="34" t="s">
        <v>745</v>
      </c>
      <c r="R84" s="2"/>
    </row>
    <row r="85" spans="1:18" ht="18" customHeight="1">
      <c r="A85">
        <v>2</v>
      </c>
      <c r="B85" t="s">
        <v>47</v>
      </c>
      <c r="C85" s="87">
        <v>37458</v>
      </c>
      <c r="D85" t="str">
        <f>IF($C85&lt;&gt;"",VLOOKUP($C85,授業リスト!$A:$J,2,FALSE),"")</f>
        <v>English Communication II</v>
      </c>
      <c r="E85">
        <f>IF($C85&lt;&gt;"",VLOOKUP($C85,授業リスト!$A:$J,3,FALSE),"")</f>
        <v>0</v>
      </c>
      <c r="F85" t="str">
        <f>IF($C85&lt;&gt;"",VLOOKUP($C85,授業リスト!$A:$J,8,FALSE),"")</f>
        <v>Pablo Picasso</v>
      </c>
      <c r="G85">
        <f>IF($C85&lt;&gt;"",VLOOKUP($C85,授業リスト!$A:$J,4,FALSE),"")</f>
        <v>2</v>
      </c>
      <c r="H85" t="str">
        <f>IF($C85&lt;&gt;"",VLOOKUP($C85,授業リスト!$A:$J,5,FALSE),"")</f>
        <v>後</v>
      </c>
      <c r="I85" t="str">
        <f>IF($C85&lt;&gt;"",VLOOKUP($C85,授業リスト!$A:$J,6,FALSE),"")</f>
        <v>木</v>
      </c>
      <c r="J85">
        <f>IF($C85&lt;&gt;"",VLOOKUP($C85,授業リスト!$A:$J,7,FALSE),"")</f>
        <v>4</v>
      </c>
      <c r="K85" s="30">
        <f>IF($C85&lt;&gt;"",VLOOKUP($C85,授業リスト!$A:$J,9,FALSE),"")</f>
        <v>2</v>
      </c>
      <c r="L85" s="4">
        <v>3</v>
      </c>
      <c r="M85" s="34"/>
      <c r="N85" s="34"/>
      <c r="O85" s="34"/>
      <c r="P85" s="34" t="s">
        <v>1127</v>
      </c>
      <c r="Q85" s="34" t="s">
        <v>567</v>
      </c>
      <c r="R85" s="2"/>
    </row>
    <row r="86" spans="1:18" ht="18" customHeight="1">
      <c r="A86">
        <v>2</v>
      </c>
      <c r="B86" t="s">
        <v>47</v>
      </c>
      <c r="C86" s="87">
        <v>37253</v>
      </c>
      <c r="D86" t="str">
        <f>IF($C86&lt;&gt;"",VLOOKUP($C86,授業リスト!$A:$J,2,FALSE),"")</f>
        <v>Theory and Methods of Educational Counseling</v>
      </c>
      <c r="E86">
        <f>IF($C86&lt;&gt;"",VLOOKUP($C86,授業リスト!$A:$J,3,FALSE),"")</f>
        <v>0</v>
      </c>
      <c r="F86" t="str">
        <f>IF($C86&lt;&gt;"",VLOOKUP($C86,授業リスト!$A:$J,8,FALSE),"")</f>
        <v>Wolfgang Amadeus Mozart</v>
      </c>
      <c r="G86">
        <f>IF($C86&lt;&gt;"",VLOOKUP($C86,授業リスト!$A:$J,4,FALSE),"")</f>
        <v>2</v>
      </c>
      <c r="H86" t="str">
        <f>IF($C86&lt;&gt;"",VLOOKUP($C86,授業リスト!$A:$J,5,FALSE),"")</f>
        <v>後</v>
      </c>
      <c r="I86" t="str">
        <f>IF($C86&lt;&gt;"",VLOOKUP($C86,授業リスト!$A:$J,6,FALSE),"")</f>
        <v>水</v>
      </c>
      <c r="J86">
        <f>IF($C86&lt;&gt;"",VLOOKUP($C86,授業リスト!$A:$J,7,FALSE),"")</f>
        <v>2</v>
      </c>
      <c r="K86" s="30">
        <f>IF($C86&lt;&gt;"",VLOOKUP($C86,授業リスト!$A:$J,9,FALSE),"")</f>
        <v>2</v>
      </c>
      <c r="L86" s="4">
        <v>4</v>
      </c>
      <c r="M86" s="34"/>
      <c r="N86" s="34" t="s">
        <v>914</v>
      </c>
      <c r="O86" s="34" t="s">
        <v>913</v>
      </c>
      <c r="P86" s="34" t="s">
        <v>621</v>
      </c>
      <c r="Q86" s="34"/>
      <c r="R86" s="2"/>
    </row>
    <row r="87" spans="1:18" ht="18" customHeight="1">
      <c r="A87">
        <v>2</v>
      </c>
      <c r="B87" t="s">
        <v>47</v>
      </c>
      <c r="C87" s="87">
        <v>38072</v>
      </c>
      <c r="D87" t="str">
        <f>IF($C87&lt;&gt;"",VLOOKUP($C87,授業リスト!$A:$J,2,FALSE),"")</f>
        <v>Teaching Methodologies for
English-mediated Instruction</v>
      </c>
      <c r="E87">
        <f>IF($C87&lt;&gt;"",VLOOKUP($C87,授業リスト!$A:$J,3,FALSE),"")</f>
        <v>0</v>
      </c>
      <c r="F87" t="str">
        <f>IF($C87&lt;&gt;"",VLOOKUP($C87,授業リスト!$A:$J,8,FALSE),"")</f>
        <v>Henry Ford</v>
      </c>
      <c r="G87">
        <f>IF($C87&lt;&gt;"",VLOOKUP($C87,授業リスト!$A:$J,4,FALSE),"")</f>
        <v>2</v>
      </c>
      <c r="H87" t="str">
        <f>IF($C87&lt;&gt;"",VLOOKUP($C87,授業リスト!$A:$J,5,FALSE),"")</f>
        <v>後</v>
      </c>
      <c r="I87" t="str">
        <f>IF($C87&lt;&gt;"",VLOOKUP($C87,授業リスト!$A:$J,6,FALSE),"")</f>
        <v>火</v>
      </c>
      <c r="J87">
        <f>IF($C87&lt;&gt;"",VLOOKUP($C87,授業リスト!$A:$J,7,FALSE),"")</f>
        <v>2</v>
      </c>
      <c r="K87" s="30" t="str">
        <f>IF($C87&lt;&gt;"",VLOOKUP($C87,授業リスト!$A:$J,9,FALSE),"")</f>
        <v>2～4</v>
      </c>
      <c r="L87" s="4">
        <v>5</v>
      </c>
      <c r="M87" s="34"/>
      <c r="N87" s="34"/>
      <c r="O87" s="34" t="s">
        <v>922</v>
      </c>
      <c r="P87" s="34"/>
      <c r="Q87" s="34"/>
      <c r="R87" s="2"/>
    </row>
    <row r="88" spans="1:18" ht="18" customHeight="1">
      <c r="A88">
        <v>2</v>
      </c>
      <c r="B88" t="s">
        <v>47</v>
      </c>
      <c r="C88" s="87"/>
      <c r="D88" t="str">
        <f>IF($C88&lt;&gt;"",VLOOKUP($C88,授業リスト!$A:$J,2,FALSE),"")</f>
        <v/>
      </c>
      <c r="E88" t="str">
        <f>IF($C88&lt;&gt;"",VLOOKUP($C88,授業リスト!$A:$J,3,FALSE),"")</f>
        <v/>
      </c>
      <c r="F88" t="str">
        <f>IF($C88&lt;&gt;"",VLOOKUP($C88,授業リスト!$A:$J,8,FALSE),"")</f>
        <v/>
      </c>
      <c r="G88" t="str">
        <f>IF($C88&lt;&gt;"",VLOOKUP($C88,授業リスト!$A:$J,4,FALSE),"")</f>
        <v/>
      </c>
      <c r="H88" t="str">
        <f>IF($C88&lt;&gt;"",VLOOKUP($C88,授業リスト!$A:$J,5,FALSE),"")</f>
        <v/>
      </c>
      <c r="I88" t="str">
        <f>IF($C88&lt;&gt;"",VLOOKUP($C88,授業リスト!$A:$J,6,FALSE),"")</f>
        <v/>
      </c>
      <c r="J88" t="str">
        <f>IF($C88&lt;&gt;"",VLOOKUP($C88,授業リスト!$A:$J,7,FALSE),"")</f>
        <v/>
      </c>
      <c r="K88" s="30" t="str">
        <f>IF($C88&lt;&gt;"",VLOOKUP($C88,授業リスト!$A:$J,9,FALSE),"")</f>
        <v/>
      </c>
      <c r="L88" s="4">
        <v>6</v>
      </c>
      <c r="M88" s="34"/>
      <c r="N88" s="34"/>
      <c r="O88" s="34"/>
      <c r="P88" s="34"/>
      <c r="Q88" s="34"/>
      <c r="R88" s="2"/>
    </row>
    <row r="89" spans="1:18" ht="18" customHeight="1">
      <c r="A89">
        <v>2</v>
      </c>
      <c r="B89" t="s">
        <v>47</v>
      </c>
      <c r="C89" s="87">
        <v>37484</v>
      </c>
      <c r="D89" t="str">
        <f>IF($C89&lt;&gt;"",VLOOKUP($C89,授業リスト!$A:$J,2,FALSE),"")</f>
        <v>Special Lectures in English Communication Studies II</v>
      </c>
      <c r="E89">
        <f>IF($C89&lt;&gt;"",VLOOKUP($C89,授業リスト!$A:$J,3,FALSE),"")</f>
        <v>0</v>
      </c>
      <c r="F89" t="str">
        <f>IF($C89&lt;&gt;"",VLOOKUP($C89,授業リスト!$A:$J,8,FALSE),"")</f>
        <v>Amelia Earhart</v>
      </c>
      <c r="G89">
        <f>IF($C89&lt;&gt;"",VLOOKUP($C89,授業リスト!$A:$J,4,FALSE),"")</f>
        <v>2</v>
      </c>
      <c r="H89" t="str">
        <f>IF($C89&lt;&gt;"",VLOOKUP($C89,授業リスト!$A:$J,5,FALSE),"")</f>
        <v>後</v>
      </c>
      <c r="I89" t="str">
        <f>IF($C89&lt;&gt;"",VLOOKUP($C89,授業リスト!$A:$J,6,FALSE),"")</f>
        <v>木</v>
      </c>
      <c r="J89">
        <f>IF($C89&lt;&gt;"",VLOOKUP($C89,授業リスト!$A:$J,7,FALSE),"")</f>
        <v>2</v>
      </c>
      <c r="K89" s="30" t="str">
        <f>IF($C89&lt;&gt;"",VLOOKUP($C89,授業リスト!$A:$J,9,FALSE),"")</f>
        <v>2～4</v>
      </c>
      <c r="L89" s="4" t="s">
        <v>1160</v>
      </c>
      <c r="M89" s="102" t="s">
        <v>929</v>
      </c>
      <c r="N89" s="103"/>
      <c r="O89" s="103"/>
      <c r="P89" s="103"/>
      <c r="Q89" s="104"/>
      <c r="R89" s="2"/>
    </row>
    <row r="90" spans="1:18" ht="18" customHeight="1">
      <c r="A90">
        <v>2</v>
      </c>
      <c r="B90" t="s">
        <v>47</v>
      </c>
      <c r="C90" s="87"/>
      <c r="D90" t="str">
        <f>IF($C90&lt;&gt;"",VLOOKUP($C90,授業リスト!$A:$J,2,FALSE),"")</f>
        <v/>
      </c>
      <c r="E90" t="str">
        <f>IF($C90&lt;&gt;"",VLOOKUP($C90,授業リスト!$A:$J,3,FALSE),"")</f>
        <v/>
      </c>
      <c r="F90" t="str">
        <f>IF($C90&lt;&gt;"",VLOOKUP($C90,授業リスト!$A:$J,8,FALSE),"")</f>
        <v/>
      </c>
      <c r="G90" t="str">
        <f>IF($C90&lt;&gt;"",VLOOKUP($C90,授業リスト!$A:$J,4,FALSE),"")</f>
        <v/>
      </c>
      <c r="H90" t="str">
        <f>IF($C90&lt;&gt;"",VLOOKUP($C90,授業リスト!$A:$J,5,FALSE),"")</f>
        <v/>
      </c>
      <c r="I90" t="str">
        <f>IF($C90&lt;&gt;"",VLOOKUP($C90,授業リスト!$A:$J,6,FALSE),"")</f>
        <v/>
      </c>
      <c r="J90" t="str">
        <f>IF($C90&lt;&gt;"",VLOOKUP($C90,授業リスト!$A:$J,7,FALSE),"")</f>
        <v/>
      </c>
      <c r="K90" s="30" t="str">
        <f>IF($C90&lt;&gt;"",VLOOKUP($C90,授業リスト!$A:$J,9,FALSE),"")</f>
        <v/>
      </c>
      <c r="L90" s="15"/>
      <c r="M90" s="15"/>
      <c r="N90" s="15"/>
      <c r="O90" s="15"/>
      <c r="P90" s="15"/>
      <c r="Q90" s="15"/>
      <c r="R90" s="2"/>
    </row>
    <row r="91" spans="1:18" ht="18" customHeight="1">
      <c r="A91">
        <v>2</v>
      </c>
      <c r="B91" t="s">
        <v>47</v>
      </c>
      <c r="C91" s="87"/>
      <c r="D91" t="str">
        <f>IF($C91&lt;&gt;"",VLOOKUP($C91,授業リスト!$A:$J,2,FALSE),"")</f>
        <v/>
      </c>
      <c r="E91" t="str">
        <f>IF($C91&lt;&gt;"",VLOOKUP($C91,授業リスト!$A:$J,3,FALSE),"")</f>
        <v/>
      </c>
      <c r="F91" t="str">
        <f>IF($C91&lt;&gt;"",VLOOKUP($C91,授業リスト!$A:$J,8,FALSE),"")</f>
        <v/>
      </c>
      <c r="G91" t="str">
        <f>IF($C91&lt;&gt;"",VLOOKUP($C91,授業リスト!$A:$J,4,FALSE),"")</f>
        <v/>
      </c>
      <c r="H91" t="str">
        <f>IF($C91&lt;&gt;"",VLOOKUP($C91,授業リスト!$A:$J,5,FALSE),"")</f>
        <v/>
      </c>
      <c r="I91" t="str">
        <f>IF($C91&lt;&gt;"",VLOOKUP($C91,授業リスト!$A:$J,6,FALSE),"")</f>
        <v/>
      </c>
      <c r="J91" t="str">
        <f>IF($C91&lt;&gt;"",VLOOKUP($C91,授業リスト!$A:$J,7,FALSE),"")</f>
        <v/>
      </c>
      <c r="K91" s="30" t="str">
        <f>IF($C91&lt;&gt;"",VLOOKUP($C91,授業リスト!$A:$J,9,FALSE),"")</f>
        <v/>
      </c>
      <c r="L91" s="15"/>
      <c r="M91" s="15"/>
      <c r="N91" s="15"/>
      <c r="O91" s="15"/>
      <c r="P91" s="15"/>
      <c r="Q91" s="15"/>
      <c r="R91" s="2"/>
    </row>
    <row r="92" spans="1:18" ht="18" customHeight="1">
      <c r="A92">
        <v>2</v>
      </c>
      <c r="B92" t="s">
        <v>47</v>
      </c>
      <c r="C92" s="87">
        <v>37468</v>
      </c>
      <c r="D92" t="str">
        <f>IF($C92&lt;&gt;"",VLOOKUP($C92,授業リスト!$A:$J,2,FALSE),"")</f>
        <v>Special Lectures in English Linguistics II</v>
      </c>
      <c r="E92" t="str">
        <f>IF($C92&lt;&gt;"",VLOOKUP($C92,授業リスト!$A:$J,3,FALSE),"")</f>
        <v/>
      </c>
      <c r="F92" t="str">
        <f>IF($C92&lt;&gt;"",VLOOKUP($C92,授業リスト!$A:$J,8,FALSE),"")</f>
        <v>John Locke</v>
      </c>
      <c r="G92">
        <f>IF($C92&lt;&gt;"",VLOOKUP($C92,授業リスト!$A:$J,4,FALSE),"")</f>
        <v>2</v>
      </c>
      <c r="H92" t="str">
        <f>IF($C92&lt;&gt;"",VLOOKUP($C92,授業リスト!$A:$J,5,FALSE),"")</f>
        <v>後</v>
      </c>
      <c r="I92" t="str">
        <f>IF($C92&lt;&gt;"",VLOOKUP($C92,授業リスト!$A:$J,6,FALSE),"")</f>
        <v>水</v>
      </c>
      <c r="J92">
        <f>IF($C92&lt;&gt;"",VLOOKUP($C92,授業リスト!$A:$J,7,FALSE),"")</f>
        <v>5</v>
      </c>
      <c r="K92" s="30" t="str">
        <f>IF($C92&lt;&gt;"",VLOOKUP($C92,授業リスト!$A:$J,9,FALSE),"")</f>
        <v>2～4</v>
      </c>
      <c r="L92" s="15"/>
      <c r="M92" s="15"/>
      <c r="N92" s="15"/>
      <c r="O92" s="15"/>
      <c r="P92" s="15"/>
      <c r="Q92" s="15"/>
      <c r="R92" s="2"/>
    </row>
    <row r="93" spans="1:18" ht="18" customHeight="1">
      <c r="A93">
        <v>2</v>
      </c>
      <c r="B93" t="s">
        <v>47</v>
      </c>
      <c r="C93" s="87"/>
      <c r="D93" t="str">
        <f>IF($C93&lt;&gt;"",VLOOKUP($C93,授業リスト!$A:$J,2,FALSE),"")</f>
        <v/>
      </c>
      <c r="E93" t="str">
        <f>IF($C93&lt;&gt;"",VLOOKUP($C93,授業リスト!$A:$J,3,FALSE),"")</f>
        <v/>
      </c>
      <c r="F93" t="str">
        <f>IF($C93&lt;&gt;"",VLOOKUP($C93,授業リスト!$A:$J,8,FALSE),"")</f>
        <v/>
      </c>
      <c r="G93" t="str">
        <f>IF($C93&lt;&gt;"",VLOOKUP($C93,授業リスト!$A:$J,4,FALSE),"")</f>
        <v/>
      </c>
      <c r="H93" t="str">
        <f>IF($C93&lt;&gt;"",VLOOKUP($C93,授業リスト!$A:$J,5,FALSE),"")</f>
        <v/>
      </c>
      <c r="I93" t="str">
        <f>IF($C93&lt;&gt;"",VLOOKUP($C93,授業リスト!$A:$J,6,FALSE),"")</f>
        <v/>
      </c>
      <c r="J93" t="str">
        <f>IF($C93&lt;&gt;"",VLOOKUP($C93,授業リスト!$A:$J,7,FALSE),"")</f>
        <v/>
      </c>
      <c r="K93" s="30" t="str">
        <f>IF($C93&lt;&gt;"",VLOOKUP($C93,授業リスト!$A:$J,9,FALSE),"")</f>
        <v/>
      </c>
      <c r="L93" s="15"/>
      <c r="M93" s="15"/>
      <c r="N93" s="15"/>
      <c r="O93" s="15"/>
      <c r="P93" s="15"/>
      <c r="Q93" s="15"/>
    </row>
    <row r="94" spans="1:18" ht="18" customHeight="1">
      <c r="A94">
        <v>2</v>
      </c>
      <c r="B94" t="s">
        <v>47</v>
      </c>
      <c r="C94" s="87">
        <v>38103</v>
      </c>
      <c r="D94" t="str">
        <f>IF($C94&lt;&gt;"",VLOOKUP($C94,授業リスト!$A:$J,2,FALSE),"")</f>
        <v>School Education Practice and Reflection II</v>
      </c>
      <c r="E94" t="str">
        <f>IF($C94&lt;&gt;"",VLOOKUP($C94,授業リスト!$A:$J,3,FALSE),"")</f>
        <v/>
      </c>
      <c r="F94" t="str">
        <f>IF($C94&lt;&gt;"",VLOOKUP($C94,授業リスト!$A:$J,8,FALSE),"")</f>
        <v>Antoine de Saint-Exupéry</v>
      </c>
      <c r="G94">
        <f>IF($C94&lt;&gt;"",VLOOKUP($C94,授業リスト!$A:$J,4,FALSE),"")</f>
        <v>2</v>
      </c>
      <c r="H94" t="str">
        <f>IF($C94&lt;&gt;"",VLOOKUP($C94,授業リスト!$A:$J,5,FALSE),"")</f>
        <v>通年</v>
      </c>
      <c r="I94" t="str">
        <f>IF($C94&lt;&gt;"",VLOOKUP($C94,授業リスト!$A:$J,6,FALSE),"")</f>
        <v>金</v>
      </c>
      <c r="J94" t="str">
        <f>IF($C94&lt;&gt;"",VLOOKUP($C94,授業リスト!$A:$J,7,FALSE),"")</f>
        <v>1-2</v>
      </c>
      <c r="K94" s="30">
        <f>IF($C94&lt;&gt;"",VLOOKUP($C94,授業リスト!$A:$J,9,FALSE),"")</f>
        <v>2</v>
      </c>
      <c r="L94" s="15"/>
      <c r="M94" s="15"/>
      <c r="N94" s="15"/>
      <c r="O94" s="15"/>
      <c r="P94" s="15"/>
      <c r="Q94" s="15"/>
      <c r="R94" s="2"/>
    </row>
    <row r="95" spans="1:18" ht="18" customHeight="1">
      <c r="A95">
        <v>2</v>
      </c>
      <c r="B95" t="s">
        <v>47</v>
      </c>
      <c r="C95" s="87">
        <v>37229</v>
      </c>
      <c r="D95" t="str">
        <f>IF($C95&lt;&gt;"",VLOOKUP($C95,授業リスト!$A:$J,2,FALSE),"")</f>
        <v>Teaching Methods for Secondary English I</v>
      </c>
      <c r="E95">
        <f>IF($C95&lt;&gt;"",VLOOKUP($C95,授業リスト!$A:$J,3,FALSE),"")</f>
        <v>0</v>
      </c>
      <c r="F95" t="str">
        <f>IF($C95&lt;&gt;"",VLOOKUP($C95,授業リスト!$A:$J,8,FALSE),"")</f>
        <v>Leo Tolstoy</v>
      </c>
      <c r="G95">
        <f>IF($C95&lt;&gt;"",VLOOKUP($C95,授業リスト!$A:$J,4,FALSE),"")</f>
        <v>2</v>
      </c>
      <c r="H95" t="str">
        <f>IF($C95&lt;&gt;"",VLOOKUP($C95,授業リスト!$A:$J,5,FALSE),"")</f>
        <v>後</v>
      </c>
      <c r="I95" t="str">
        <f>IF($C95&lt;&gt;"",VLOOKUP($C95,授業リスト!$A:$J,6,FALSE),"")</f>
        <v>木</v>
      </c>
      <c r="J95">
        <f>IF($C95&lt;&gt;"",VLOOKUP($C95,授業リスト!$A:$J,7,FALSE),"")</f>
        <v>3</v>
      </c>
      <c r="K95" s="30">
        <f>IF($C95&lt;&gt;"",VLOOKUP($C95,授業リスト!$A:$J,9,FALSE),"")</f>
        <v>2</v>
      </c>
      <c r="L95" s="15"/>
      <c r="M95" s="15"/>
      <c r="N95" s="15"/>
      <c r="O95" s="15"/>
      <c r="P95" s="15"/>
      <c r="Q95" s="15"/>
      <c r="R95" s="2"/>
    </row>
    <row r="96" spans="1:18" ht="18" customHeight="1">
      <c r="A96">
        <v>2</v>
      </c>
      <c r="B96" t="s">
        <v>47</v>
      </c>
      <c r="C96" s="87">
        <v>37002</v>
      </c>
      <c r="D96" t="str">
        <f>IF($C96&lt;&gt;"",VLOOKUP($C96,授業リスト!$A:$J,2,FALSE),"")</f>
        <v>Civics</v>
      </c>
      <c r="E96" t="str">
        <f>IF($C96&lt;&gt;"",VLOOKUP($C96,授業リスト!$A:$J,3,FALSE),"")</f>
        <v>BCD</v>
      </c>
      <c r="F96" t="str">
        <f>IF($C96&lt;&gt;"",VLOOKUP($C96,授業リスト!$A:$J,8,FALSE),"")</f>
        <v>Marie Curie</v>
      </c>
      <c r="G96">
        <f>IF($C96&lt;&gt;"",VLOOKUP($C96,授業リスト!$A:$J,4,FALSE),"")</f>
        <v>2</v>
      </c>
      <c r="H96" t="str">
        <f>IF($C96&lt;&gt;"",VLOOKUP($C96,授業リスト!$A:$J,5,FALSE),"")</f>
        <v>後</v>
      </c>
      <c r="I96" t="str">
        <f>IF($C96&lt;&gt;"",VLOOKUP($C96,授業リスト!$A:$J,6,FALSE),"")</f>
        <v>金</v>
      </c>
      <c r="J96">
        <f>IF($C96&lt;&gt;"",VLOOKUP($C96,授業リスト!$A:$J,7,FALSE),"")</f>
        <v>3</v>
      </c>
      <c r="K96" s="30">
        <f>IF($C96&lt;&gt;"",VLOOKUP($C96,授業リスト!$A:$J,9,FALSE),"")</f>
        <v>2</v>
      </c>
      <c r="L96" s="15"/>
      <c r="M96" s="15"/>
      <c r="N96" s="15"/>
      <c r="O96" s="15"/>
      <c r="P96" s="15"/>
      <c r="Q96" s="15"/>
      <c r="R96" s="2"/>
    </row>
    <row r="97" spans="1:18" ht="18" customHeight="1">
      <c r="A97">
        <v>2</v>
      </c>
      <c r="B97" t="s">
        <v>47</v>
      </c>
      <c r="C97" s="87">
        <v>37455</v>
      </c>
      <c r="D97" t="str">
        <f>IF($C97&lt;&gt;"",VLOOKUP($C97,授業リスト!$A:$J,2,FALSE),"")</f>
        <v>English Literature Exercises I</v>
      </c>
      <c r="E97" t="str">
        <f>IF($C97&lt;&gt;"",VLOOKUP($C97,授業リスト!$A:$J,3,FALSE),"")</f>
        <v/>
      </c>
      <c r="F97" t="str">
        <f>IF($C97&lt;&gt;"",VLOOKUP($C97,授業リスト!$A:$J,8,FALSE),"")</f>
        <v>Benjamin Franklin</v>
      </c>
      <c r="G97">
        <f>IF($C97&lt;&gt;"",VLOOKUP($C97,授業リスト!$A:$J,4,FALSE),"")</f>
        <v>2</v>
      </c>
      <c r="H97" t="str">
        <f>IF($C97&lt;&gt;"",VLOOKUP($C97,授業リスト!$A:$J,5,FALSE),"")</f>
        <v>後</v>
      </c>
      <c r="I97" t="str">
        <f>IF($C97&lt;&gt;"",VLOOKUP($C97,授業リスト!$A:$J,6,FALSE),"")</f>
        <v>水</v>
      </c>
      <c r="J97">
        <f>IF($C97&lt;&gt;"",VLOOKUP($C97,授業リスト!$A:$J,7,FALSE),"")</f>
        <v>4</v>
      </c>
      <c r="K97" s="30">
        <f>IF($C97&lt;&gt;"",VLOOKUP($C97,授業リスト!$A:$J,9,FALSE),"")</f>
        <v>2</v>
      </c>
      <c r="L97" s="15"/>
      <c r="M97" s="15"/>
      <c r="N97" s="15"/>
      <c r="O97" s="15"/>
      <c r="P97" s="15"/>
      <c r="Q97" s="15"/>
      <c r="R97" s="2"/>
    </row>
    <row r="98" spans="1:18" ht="18" customHeight="1">
      <c r="A98">
        <v>2</v>
      </c>
      <c r="B98" t="s">
        <v>47</v>
      </c>
      <c r="C98" s="87"/>
      <c r="D98" t="str">
        <f>IF($C98&lt;&gt;"",VLOOKUP($C98,授業リスト!$A:$J,2,FALSE),"")</f>
        <v/>
      </c>
      <c r="E98" t="str">
        <f>IF($C98&lt;&gt;"",VLOOKUP($C98,授業リスト!$A:$J,3,FALSE),"")</f>
        <v/>
      </c>
      <c r="F98" t="str">
        <f>IF($C98&lt;&gt;"",VLOOKUP($C98,授業リスト!$A:$J,8,FALSE),"")</f>
        <v/>
      </c>
      <c r="G98" t="str">
        <f>IF($C98&lt;&gt;"",VLOOKUP($C98,授業リスト!$A:$J,4,FALSE),"")</f>
        <v/>
      </c>
      <c r="H98" t="str">
        <f>IF($C98&lt;&gt;"",VLOOKUP($C98,授業リスト!$A:$J,5,FALSE),"")</f>
        <v/>
      </c>
      <c r="I98" t="str">
        <f>IF($C98&lt;&gt;"",VLOOKUP($C98,授業リスト!$A:$J,6,FALSE),"")</f>
        <v/>
      </c>
      <c r="J98" t="str">
        <f>IF($C98&lt;&gt;"",VLOOKUP($C98,授業リスト!$A:$J,7,FALSE),"")</f>
        <v/>
      </c>
      <c r="K98" s="30" t="str">
        <f>IF($C98&lt;&gt;"",VLOOKUP($C98,授業リスト!$A:$J,9,FALSE),"")</f>
        <v/>
      </c>
      <c r="L98" s="15"/>
      <c r="M98" s="15"/>
      <c r="N98" s="15"/>
      <c r="O98" s="15"/>
      <c r="P98" s="15"/>
      <c r="Q98" s="15"/>
      <c r="R98" s="2"/>
    </row>
    <row r="99" spans="1:18" ht="18" customHeight="1">
      <c r="A99">
        <v>2</v>
      </c>
      <c r="B99" t="s">
        <v>47</v>
      </c>
      <c r="C99" s="87"/>
      <c r="D99" t="str">
        <f>IF($C99&lt;&gt;"",VLOOKUP($C99,授業リスト!$A:$J,2,FALSE),"")</f>
        <v/>
      </c>
      <c r="E99" t="str">
        <f>IF($C99&lt;&gt;"",VLOOKUP($C99,授業リスト!$A:$J,3,FALSE),"")</f>
        <v/>
      </c>
      <c r="F99" t="str">
        <f>IF($C99&lt;&gt;"",VLOOKUP($C99,授業リスト!$A:$J,8,FALSE),"")</f>
        <v/>
      </c>
      <c r="G99" t="str">
        <f>IF($C99&lt;&gt;"",VLOOKUP($C99,授業リスト!$A:$J,4,FALSE),"")</f>
        <v/>
      </c>
      <c r="H99" t="str">
        <f>IF($C99&lt;&gt;"",VLOOKUP($C99,授業リスト!$A:$J,5,FALSE),"")</f>
        <v/>
      </c>
      <c r="I99" t="str">
        <f>IF($C99&lt;&gt;"",VLOOKUP($C99,授業リスト!$A:$J,6,FALSE),"")</f>
        <v/>
      </c>
      <c r="J99" t="str">
        <f>IF($C99&lt;&gt;"",VLOOKUP($C99,授業リスト!$A:$J,7,FALSE),"")</f>
        <v/>
      </c>
      <c r="K99" s="30" t="str">
        <f>IF($C99&lt;&gt;"",VLOOKUP($C99,授業リスト!$A:$J,9,FALSE),"")</f>
        <v/>
      </c>
      <c r="L99" s="15"/>
      <c r="M99" s="24" t="s">
        <v>1113</v>
      </c>
      <c r="R99" s="2"/>
    </row>
    <row r="100" spans="1:18" ht="18" customHeight="1" thickBot="1">
      <c r="A100">
        <v>2</v>
      </c>
      <c r="B100" t="s">
        <v>47</v>
      </c>
      <c r="C100" s="87"/>
      <c r="D100" t="str">
        <f>IF($C100&lt;&gt;"",VLOOKUP($C100,授業リスト!$A:$J,2,FALSE),"")</f>
        <v/>
      </c>
      <c r="E100" t="str">
        <f>IF($C100&lt;&gt;"",VLOOKUP($C100,授業リスト!$A:$J,3,FALSE),"")</f>
        <v/>
      </c>
      <c r="F100" t="str">
        <f>IF($C100&lt;&gt;"",VLOOKUP($C100,授業リスト!$A:$J,8,FALSE),"")</f>
        <v/>
      </c>
      <c r="G100" t="str">
        <f>IF($C100&lt;&gt;"",VLOOKUP($C100,授業リスト!$A:$J,4,FALSE),"")</f>
        <v/>
      </c>
      <c r="H100" t="str">
        <f>IF($C100&lt;&gt;"",VLOOKUP($C100,授業リスト!$A:$J,5,FALSE),"")</f>
        <v/>
      </c>
      <c r="I100" t="str">
        <f>IF($C100&lt;&gt;"",VLOOKUP($C100,授業リスト!$A:$J,6,FALSE),"")</f>
        <v/>
      </c>
      <c r="J100" t="str">
        <f>IF($C100&lt;&gt;"",VLOOKUP($C100,授業リスト!$A:$J,7,FALSE),"")</f>
        <v/>
      </c>
      <c r="K100" s="30" t="str">
        <f>IF($C100&lt;&gt;"",VLOOKUP($C100,授業リスト!$A:$J,9,FALSE),"")</f>
        <v/>
      </c>
      <c r="L100" s="15"/>
      <c r="R100" s="2"/>
    </row>
    <row r="101" spans="1:18" ht="18" thickBot="1">
      <c r="A101">
        <v>2</v>
      </c>
      <c r="B101" t="s">
        <v>47</v>
      </c>
      <c r="C101" s="87">
        <v>37460</v>
      </c>
      <c r="D101" t="str">
        <f>IF($C101&lt;&gt;"",VLOOKUP($C101,授業リスト!$A:$J,2,FALSE),"")</f>
        <v>Academic Writing I</v>
      </c>
      <c r="E101" t="str">
        <f>IF($C101&lt;&gt;"",VLOOKUP($C101,授業リスト!$A:$J,3,FALSE),"")</f>
        <v/>
      </c>
      <c r="F101" t="str">
        <f>IF($C101&lt;&gt;"",VLOOKUP($C101,授業リスト!$A:$J,8,FALSE),"")</f>
        <v>William Wordsworth</v>
      </c>
      <c r="G101">
        <f>IF($C101&lt;&gt;"",VLOOKUP($C101,授業リスト!$A:$J,4,FALSE),"")</f>
        <v>2</v>
      </c>
      <c r="H101" t="str">
        <f>IF($C101&lt;&gt;"",VLOOKUP($C101,授業リスト!$A:$J,5,FALSE),"")</f>
        <v>後</v>
      </c>
      <c r="I101" t="str">
        <f>IF($C101&lt;&gt;"",VLOOKUP($C101,授業リスト!$A:$J,6,FALSE),"")</f>
        <v>火</v>
      </c>
      <c r="J101">
        <f>IF($C101&lt;&gt;"",VLOOKUP($C101,授業リスト!$A:$J,7,FALSE),"")</f>
        <v>4</v>
      </c>
      <c r="K101" s="30">
        <f>IF($C101&lt;&gt;"",VLOOKUP($C101,授業リスト!$A:$J,9,FALSE),"")</f>
        <v>3</v>
      </c>
      <c r="L101" s="15"/>
      <c r="M101" s="25"/>
      <c r="N101" s="26"/>
      <c r="R101" s="2"/>
    </row>
    <row r="102" spans="1:18">
      <c r="A102">
        <v>2</v>
      </c>
      <c r="B102" t="s">
        <v>47</v>
      </c>
      <c r="C102" s="87"/>
      <c r="D102" t="str">
        <f>IF($C102&lt;&gt;"",VLOOKUP($C102,授業リスト!$A:$J,2,FALSE),"")</f>
        <v/>
      </c>
      <c r="E102" t="str">
        <f>IF($C102&lt;&gt;"",VLOOKUP($C102,授業リスト!$A:$J,3,FALSE),"")</f>
        <v/>
      </c>
      <c r="F102" t="str">
        <f>IF($C102&lt;&gt;"",VLOOKUP($C102,授業リスト!$A:$J,8,FALSE),"")</f>
        <v/>
      </c>
      <c r="G102" t="str">
        <f>IF($C102&lt;&gt;"",VLOOKUP($C102,授業リスト!$A:$J,4,FALSE),"")</f>
        <v/>
      </c>
      <c r="H102" t="str">
        <f>IF($C102&lt;&gt;"",VLOOKUP($C102,授業リスト!$A:$J,5,FALSE),"")</f>
        <v/>
      </c>
      <c r="I102" t="str">
        <f>IF($C102&lt;&gt;"",VLOOKUP($C102,授業リスト!$A:$J,6,FALSE),"")</f>
        <v/>
      </c>
      <c r="J102" t="str">
        <f>IF($C102&lt;&gt;"",VLOOKUP($C102,授業リスト!$A:$J,7,FALSE),"")</f>
        <v/>
      </c>
      <c r="K102" s="30" t="str">
        <f>IF($C102&lt;&gt;"",VLOOKUP($C102,授業リスト!$A:$J,9,FALSE),"")</f>
        <v/>
      </c>
      <c r="L102" s="15"/>
    </row>
    <row r="103" spans="1:18">
      <c r="A103">
        <v>2</v>
      </c>
      <c r="B103" t="s">
        <v>47</v>
      </c>
      <c r="C103" s="87"/>
      <c r="D103" t="str">
        <f>IF($C103&lt;&gt;"",VLOOKUP($C103,授業リスト!$A:$J,2,FALSE),"")</f>
        <v/>
      </c>
      <c r="E103" t="str">
        <f>IF($C103&lt;&gt;"",VLOOKUP($C103,授業リスト!$A:$J,3,FALSE),"")</f>
        <v/>
      </c>
      <c r="F103" t="str">
        <f>IF($C103&lt;&gt;"",VLOOKUP($C103,授業リスト!$A:$J,8,FALSE),"")</f>
        <v/>
      </c>
      <c r="G103" t="str">
        <f>IF($C103&lt;&gt;"",VLOOKUP($C103,授業リスト!$A:$J,4,FALSE),"")</f>
        <v/>
      </c>
      <c r="H103" t="str">
        <f>IF($C103&lt;&gt;"",VLOOKUP($C103,授業リスト!$A:$J,5,FALSE),"")</f>
        <v/>
      </c>
      <c r="I103" t="str">
        <f>IF($C103&lt;&gt;"",VLOOKUP($C103,授業リスト!$A:$J,6,FALSE),"")</f>
        <v/>
      </c>
      <c r="J103" t="str">
        <f>IF($C103&lt;&gt;"",VLOOKUP($C103,授業リスト!$A:$J,7,FALSE),"")</f>
        <v/>
      </c>
      <c r="K103" s="30" t="str">
        <f>IF($C103&lt;&gt;"",VLOOKUP($C103,授業リスト!$A:$J,9,FALSE),"")</f>
        <v/>
      </c>
      <c r="L103" s="15"/>
    </row>
    <row r="104" spans="1:18">
      <c r="A104">
        <v>2</v>
      </c>
      <c r="B104" t="s">
        <v>47</v>
      </c>
      <c r="C104" s="87"/>
      <c r="D104" t="str">
        <f>IF($C104&lt;&gt;"",VLOOKUP($C104,授業リスト!$A:$J,2,FALSE),"")</f>
        <v/>
      </c>
      <c r="E104" t="str">
        <f>IF($C104&lt;&gt;"",VLOOKUP($C104,授業リスト!$A:$J,3,FALSE),"")</f>
        <v/>
      </c>
      <c r="F104" t="str">
        <f>IF($C104&lt;&gt;"",VLOOKUP($C104,授業リスト!$A:$J,8,FALSE),"")</f>
        <v/>
      </c>
      <c r="G104" t="str">
        <f>IF($C104&lt;&gt;"",VLOOKUP($C104,授業リスト!$A:$J,4,FALSE),"")</f>
        <v/>
      </c>
      <c r="H104" t="str">
        <f>IF($C104&lt;&gt;"",VLOOKUP($C104,授業リスト!$A:$J,5,FALSE),"")</f>
        <v/>
      </c>
      <c r="I104" t="str">
        <f>IF($C104&lt;&gt;"",VLOOKUP($C104,授業リスト!$A:$J,6,FALSE),"")</f>
        <v/>
      </c>
      <c r="J104" t="str">
        <f>IF($C104&lt;&gt;"",VLOOKUP($C104,授業リスト!$A:$J,7,FALSE),"")</f>
        <v/>
      </c>
      <c r="K104" s="30" t="str">
        <f>IF($C104&lt;&gt;"",VLOOKUP($C104,授業リスト!$A:$J,9,FALSE),"")</f>
        <v/>
      </c>
      <c r="L104" s="15"/>
    </row>
    <row r="105" spans="1:18">
      <c r="A105">
        <v>2</v>
      </c>
      <c r="B105" t="s">
        <v>47</v>
      </c>
      <c r="C105" s="87"/>
      <c r="D105" t="str">
        <f>IF($C105&lt;&gt;"",VLOOKUP($C105,授業リスト!$A:$J,2,FALSE),"")</f>
        <v/>
      </c>
      <c r="E105" t="str">
        <f>IF($C105&lt;&gt;"",VLOOKUP($C105,授業リスト!$A:$J,3,FALSE),"")</f>
        <v/>
      </c>
      <c r="F105" t="str">
        <f>IF($C105&lt;&gt;"",VLOOKUP($C105,授業リスト!$A:$J,8,FALSE),"")</f>
        <v/>
      </c>
      <c r="G105" t="str">
        <f>IF($C105&lt;&gt;"",VLOOKUP($C105,授業リスト!$A:$J,4,FALSE),"")</f>
        <v/>
      </c>
      <c r="H105" t="str">
        <f>IF($C105&lt;&gt;"",VLOOKUP($C105,授業リスト!$A:$J,5,FALSE),"")</f>
        <v/>
      </c>
      <c r="I105" t="str">
        <f>IF($C105&lt;&gt;"",VLOOKUP($C105,授業リスト!$A:$J,6,FALSE),"")</f>
        <v/>
      </c>
      <c r="J105" t="str">
        <f>IF($C105&lt;&gt;"",VLOOKUP($C105,授業リスト!$A:$J,7,FALSE),"")</f>
        <v/>
      </c>
      <c r="K105" s="30" t="str">
        <f>IF($C105&lt;&gt;"",VLOOKUP($C105,授業リスト!$A:$J,9,FALSE),"")</f>
        <v/>
      </c>
      <c r="L105" s="15"/>
      <c r="M105" s="15"/>
      <c r="N105" s="15"/>
      <c r="O105" s="15"/>
      <c r="P105" s="15"/>
      <c r="Q105" s="15"/>
      <c r="R105" s="2"/>
    </row>
    <row r="106" spans="1:18">
      <c r="A106">
        <v>2</v>
      </c>
      <c r="B106" t="s">
        <v>47</v>
      </c>
      <c r="C106" s="87"/>
      <c r="D106" t="str">
        <f>IF($C106&lt;&gt;"",VLOOKUP($C106,授業リスト!$A:$J,2,FALSE),"")</f>
        <v/>
      </c>
      <c r="E106" t="str">
        <f>IF($C106&lt;&gt;"",VLOOKUP($C106,授業リスト!$A:$J,3,FALSE),"")</f>
        <v/>
      </c>
      <c r="F106" t="str">
        <f>IF($C106&lt;&gt;"",VLOOKUP($C106,授業リスト!$A:$J,8,FALSE),"")</f>
        <v/>
      </c>
      <c r="G106" t="str">
        <f>IF($C106&lt;&gt;"",VLOOKUP($C106,授業リスト!$A:$J,4,FALSE),"")</f>
        <v/>
      </c>
      <c r="H106" t="str">
        <f>IF($C106&lt;&gt;"",VLOOKUP($C106,授業リスト!$A:$J,5,FALSE),"")</f>
        <v/>
      </c>
      <c r="I106" t="str">
        <f>IF($C106&lt;&gt;"",VLOOKUP($C106,授業リスト!$A:$J,6,FALSE),"")</f>
        <v/>
      </c>
      <c r="J106" t="str">
        <f>IF($C106&lt;&gt;"",VLOOKUP($C106,授業リスト!$A:$J,7,FALSE),"")</f>
        <v/>
      </c>
      <c r="K106" s="30" t="str">
        <f>IF($C106&lt;&gt;"",VLOOKUP($C106,授業リスト!$A:$J,9,FALSE),"")</f>
        <v/>
      </c>
      <c r="L106" s="15"/>
      <c r="M106" s="15"/>
      <c r="N106" s="15"/>
      <c r="O106" s="15"/>
      <c r="P106" s="15"/>
      <c r="Q106" s="15"/>
      <c r="R106" s="2"/>
    </row>
    <row r="107" spans="1:18" ht="16.5" customHeight="1">
      <c r="A107" s="1">
        <v>2</v>
      </c>
      <c r="B107" s="1" t="s">
        <v>47</v>
      </c>
      <c r="C107" s="88"/>
      <c r="D107" s="1" t="str">
        <f>IF($C107&lt;&gt;"",VLOOKUP($C107,授業リスト!$A:$J,2,FALSE),"")</f>
        <v/>
      </c>
      <c r="E107" s="1" t="str">
        <f>IF($C107&lt;&gt;"",VLOOKUP($C107,授業リスト!$A:$J,3,FALSE),"")</f>
        <v/>
      </c>
      <c r="F107" s="1" t="str">
        <f>IF($C107&lt;&gt;"",VLOOKUP($C107,授業リスト!$A:$J,8,FALSE),"")</f>
        <v/>
      </c>
      <c r="G107" s="1" t="str">
        <f>IF($C107&lt;&gt;"",VLOOKUP($C107,授業リスト!$A:$J,4,FALSE),"")</f>
        <v/>
      </c>
      <c r="H107" s="1" t="str">
        <f>IF($C107&lt;&gt;"",VLOOKUP($C107,授業リスト!$A:$J,5,FALSE),"")</f>
        <v/>
      </c>
      <c r="I107" s="1" t="str">
        <f>IF($C107&lt;&gt;"",VLOOKUP($C107,授業リスト!$A:$J,6,FALSE),"")</f>
        <v/>
      </c>
      <c r="J107" s="1" t="str">
        <f>IF($C107&lt;&gt;"",VLOOKUP($C107,授業リスト!$A:$J,7,FALSE),"")</f>
        <v/>
      </c>
      <c r="K107" s="31" t="str">
        <f>IF($C107&lt;&gt;"",VLOOKUP($C107,授業リスト!$A:$J,9,FALSE),"")</f>
        <v/>
      </c>
      <c r="L107" s="15"/>
      <c r="M107" s="15"/>
      <c r="N107" s="15"/>
      <c r="O107" s="15"/>
      <c r="P107" s="15"/>
      <c r="Q107" s="15"/>
      <c r="R107" s="2"/>
    </row>
    <row r="108" spans="1:18" ht="16.5" customHeight="1">
      <c r="A108" s="37">
        <v>3</v>
      </c>
      <c r="B108" s="37" t="s">
        <v>69</v>
      </c>
      <c r="C108" s="85"/>
      <c r="D108" s="37" t="str">
        <f>IF($C108&lt;&gt;"",VLOOKUP($C108,授業リスト!$A:$J,2,FALSE),"")</f>
        <v/>
      </c>
      <c r="E108" s="37" t="str">
        <f>IF($C108&lt;&gt;"",VLOOKUP($C108,授業リスト!$A:$J,3,FALSE),"")</f>
        <v/>
      </c>
      <c r="F108" s="37" t="str">
        <f>IF($C108&lt;&gt;"",VLOOKUP($C108,授業リスト!$A:$J,8,FALSE),"")</f>
        <v/>
      </c>
      <c r="G108" s="37" t="str">
        <f>IF($C108&lt;&gt;"",VLOOKUP($C108,授業リスト!$A:$J,4,FALSE),"")</f>
        <v/>
      </c>
      <c r="H108" s="37" t="str">
        <f>IF($C108&lt;&gt;"",VLOOKUP($C108,授業リスト!$A:$J,5,FALSE),"")</f>
        <v/>
      </c>
      <c r="I108" s="37" t="str">
        <f>IF($C108&lt;&gt;"",VLOOKUP($C108,授業リスト!$A:$J,6,FALSE),"")</f>
        <v/>
      </c>
      <c r="J108" s="37" t="str">
        <f>IF($C108&lt;&gt;"",VLOOKUP($C108,授業リスト!$A:$J,7,FALSE),"")</f>
        <v/>
      </c>
      <c r="K108" s="38" t="str">
        <f>IF($C108&lt;&gt;"",VLOOKUP($C108,授業リスト!$A:$J,9,FALSE),"")</f>
        <v/>
      </c>
      <c r="L108" s="2"/>
      <c r="M108" s="3" t="s">
        <v>1156</v>
      </c>
      <c r="N108" s="95" t="s">
        <v>1155</v>
      </c>
      <c r="O108" s="3" t="s">
        <v>1157</v>
      </c>
      <c r="P108" s="3" t="s">
        <v>1158</v>
      </c>
      <c r="Q108" s="3" t="s">
        <v>1159</v>
      </c>
      <c r="R108" s="2"/>
    </row>
    <row r="109" spans="1:18" ht="16.5" customHeight="1">
      <c r="A109" s="37">
        <v>3</v>
      </c>
      <c r="B109" s="37" t="s">
        <v>69</v>
      </c>
      <c r="C109" s="85">
        <v>37230</v>
      </c>
      <c r="D109" s="37" t="str">
        <f>IF($C109&lt;&gt;"",VLOOKUP($C109,授業リスト!$A:$J,2,FALSE),"")</f>
        <v>Teaching Methods for Secondary English II</v>
      </c>
      <c r="E109" s="37">
        <f>IF($C109&lt;&gt;"",VLOOKUP($C109,授業リスト!$A:$J,3,FALSE),"")</f>
        <v>0</v>
      </c>
      <c r="F109" s="37" t="str">
        <f>IF($C109&lt;&gt;"",VLOOKUP($C109,授業リスト!$A:$J,8,FALSE),"")</f>
        <v>Henry David Thoreau</v>
      </c>
      <c r="G109" s="37">
        <f>IF($C109&lt;&gt;"",VLOOKUP($C109,授業リスト!$A:$J,4,FALSE),"")</f>
        <v>2</v>
      </c>
      <c r="H109" s="37" t="str">
        <f>IF($C109&lt;&gt;"",VLOOKUP($C109,授業リスト!$A:$J,5,FALSE),"")</f>
        <v>前</v>
      </c>
      <c r="I109" s="37" t="str">
        <f>IF($C109&lt;&gt;"",VLOOKUP($C109,授業リスト!$A:$J,6,FALSE),"")</f>
        <v>金</v>
      </c>
      <c r="J109" s="37">
        <f>IF($C109&lt;&gt;"",VLOOKUP($C109,授業リスト!$A:$J,7,FALSE),"")</f>
        <v>3</v>
      </c>
      <c r="K109" s="38">
        <f>IF($C109&lt;&gt;"",VLOOKUP($C109,授業リスト!$A:$J,9,FALSE),"")</f>
        <v>3</v>
      </c>
      <c r="L109" s="4">
        <v>1</v>
      </c>
      <c r="M109" s="34" t="s">
        <v>682</v>
      </c>
      <c r="N109" s="34"/>
      <c r="O109" s="34"/>
      <c r="P109" s="34"/>
      <c r="Q109" s="34"/>
      <c r="R109" s="2"/>
    </row>
    <row r="110" spans="1:18" ht="16.5" customHeight="1">
      <c r="A110" s="37">
        <v>3</v>
      </c>
      <c r="B110" s="37" t="s">
        <v>69</v>
      </c>
      <c r="C110" s="85">
        <v>37256</v>
      </c>
      <c r="D110" s="37" t="str">
        <f>IF($C110&lt;&gt;"",VLOOKUP($C110,授業リスト!$A:$J,2,FALSE),"")</f>
        <v>Ethics Theory and Instructional Methods</v>
      </c>
      <c r="E110" s="37">
        <f>IF($C110&lt;&gt;"",VLOOKUP($C110,授業リスト!$A:$J,3,FALSE),"")</f>
        <v>0</v>
      </c>
      <c r="F110" s="37" t="str">
        <f>IF($C110&lt;&gt;"",VLOOKUP($C110,授業リスト!$A:$J,8,FALSE),"")</f>
        <v>Sir Ernest Shackleton</v>
      </c>
      <c r="G110" s="37">
        <f>IF($C110&lt;&gt;"",VLOOKUP($C110,授業リスト!$A:$J,4,FALSE),"")</f>
        <v>2</v>
      </c>
      <c r="H110" s="37" t="str">
        <f>IF($C110&lt;&gt;"",VLOOKUP($C110,授業リスト!$A:$J,5,FALSE),"")</f>
        <v>前</v>
      </c>
      <c r="I110" s="37" t="str">
        <f>IF($C110&lt;&gt;"",VLOOKUP($C110,授業リスト!$A:$J,6,FALSE),"")</f>
        <v>水</v>
      </c>
      <c r="J110" s="37">
        <f>IF($C110&lt;&gt;"",VLOOKUP($C110,授業リスト!$A:$J,7,FALSE),"")</f>
        <v>2</v>
      </c>
      <c r="K110" s="38">
        <f>IF($C110&lt;&gt;"",VLOOKUP($C110,授業リスト!$A:$J,9,FALSE),"")</f>
        <v>3</v>
      </c>
      <c r="L110" s="4">
        <v>2</v>
      </c>
      <c r="M110" s="34" t="s">
        <v>741</v>
      </c>
      <c r="N110" s="34"/>
      <c r="O110" s="34" t="s">
        <v>740</v>
      </c>
      <c r="P110" s="34"/>
      <c r="Q110" s="34"/>
      <c r="R110" s="2"/>
    </row>
    <row r="111" spans="1:18" ht="16.5" customHeight="1">
      <c r="A111" s="37">
        <v>3</v>
      </c>
      <c r="B111" s="37" t="s">
        <v>69</v>
      </c>
      <c r="C111" s="85">
        <v>37259</v>
      </c>
      <c r="D111" s="37" t="str">
        <f>IF($C111&lt;&gt;"",VLOOKUP($C111,授業リスト!$A:$J,2,FALSE),"")</f>
        <v>Theory and Instructional Methods for Special Activities and Integrated Learning Time</v>
      </c>
      <c r="E111" s="37">
        <f>IF($C111&lt;&gt;"",VLOOKUP($C111,授業リスト!$A:$J,3,FALSE),"")</f>
        <v>0</v>
      </c>
      <c r="F111" s="37" t="str">
        <f>IF($C111&lt;&gt;"",VLOOKUP($C111,授業リスト!$A:$J,8,FALSE),"")</f>
        <v>Christopher Columbus</v>
      </c>
      <c r="G111" s="37">
        <f>IF($C111&lt;&gt;"",VLOOKUP($C111,授業リスト!$A:$J,4,FALSE),"")</f>
        <v>2</v>
      </c>
      <c r="H111" s="37" t="str">
        <f>IF($C111&lt;&gt;"",VLOOKUP($C111,授業リスト!$A:$J,5,FALSE),"")</f>
        <v>前</v>
      </c>
      <c r="I111" s="37" t="str">
        <f>IF($C111&lt;&gt;"",VLOOKUP($C111,授業リスト!$A:$J,6,FALSE),"")</f>
        <v>月</v>
      </c>
      <c r="J111" s="37">
        <f>IF($C111&lt;&gt;"",VLOOKUP($C111,授業リスト!$A:$J,7,FALSE),"")</f>
        <v>2</v>
      </c>
      <c r="K111" s="38">
        <f>IF($C111&lt;&gt;"",VLOOKUP($C111,授業リスト!$A:$J,9,FALSE),"")</f>
        <v>3</v>
      </c>
      <c r="L111" s="4">
        <v>3</v>
      </c>
      <c r="M111" s="34"/>
      <c r="N111" s="34" t="s">
        <v>680</v>
      </c>
      <c r="O111" s="34"/>
      <c r="P111" s="34"/>
      <c r="Q111" s="34" t="s">
        <v>1128</v>
      </c>
      <c r="R111" s="2"/>
    </row>
    <row r="112" spans="1:18" ht="16.5" customHeight="1">
      <c r="A112" s="37">
        <v>3</v>
      </c>
      <c r="B112" s="37" t="s">
        <v>69</v>
      </c>
      <c r="C112" s="85">
        <v>37159</v>
      </c>
      <c r="D112" s="37" t="str">
        <f>IF($C112&lt;&gt;"",VLOOKUP($C112,授業リスト!$A:$J,2,FALSE),"")</f>
        <v>Elementary Ed Teaching Methods: Language Skills</v>
      </c>
      <c r="E112" s="37">
        <f>IF($C112&lt;&gt;"",VLOOKUP($C112,授業リスト!$A:$J,3,FALSE),"")</f>
        <v>0</v>
      </c>
      <c r="F112" s="37" t="str">
        <f>IF($C112&lt;&gt;"",VLOOKUP($C112,授業リスト!$A:$J,8,FALSE),"")</f>
        <v>Wolfgang Amadeus Mozart</v>
      </c>
      <c r="G112" s="37">
        <f>IF($C112&lt;&gt;"",VLOOKUP($C112,授業リスト!$A:$J,4,FALSE),"")</f>
        <v>2</v>
      </c>
      <c r="H112" s="37" t="str">
        <f>IF($C112&lt;&gt;"",VLOOKUP($C112,授業リスト!$A:$J,5,FALSE),"")</f>
        <v>前</v>
      </c>
      <c r="I112" s="37" t="str">
        <f>IF($C112&lt;&gt;"",VLOOKUP($C112,授業リスト!$A:$J,6,FALSE),"")</f>
        <v>火</v>
      </c>
      <c r="J112" s="37">
        <f>IF($C112&lt;&gt;"",VLOOKUP($C112,授業リスト!$A:$J,7,FALSE),"")</f>
        <v>3</v>
      </c>
      <c r="K112" s="38">
        <f>IF($C112&lt;&gt;"",VLOOKUP($C112,授業リスト!$A:$J,9,FALSE),"")</f>
        <v>3</v>
      </c>
      <c r="L112" s="4">
        <v>4</v>
      </c>
      <c r="M112" s="34"/>
      <c r="N112" s="34"/>
      <c r="O112" s="34"/>
      <c r="P112" s="34"/>
      <c r="Q112" s="34"/>
      <c r="R112" s="2"/>
    </row>
    <row r="113" spans="1:18" ht="16.5" customHeight="1">
      <c r="A113" s="37">
        <v>3</v>
      </c>
      <c r="B113" s="37" t="s">
        <v>69</v>
      </c>
      <c r="C113" s="85">
        <v>37165</v>
      </c>
      <c r="D113" s="37" t="str">
        <f>IF($C113&lt;&gt;"",VLOOKUP($C113,授業リスト!$A:$J,2,FALSE),"")</f>
        <v>Elementary Ed Teaching: Math</v>
      </c>
      <c r="E113" s="37">
        <f>IF($C113&lt;&gt;"",VLOOKUP($C113,授業リスト!$A:$J,3,FALSE),"")</f>
        <v>0</v>
      </c>
      <c r="F113" s="37" t="str">
        <f>IF($C113&lt;&gt;"",VLOOKUP($C113,授業リスト!$A:$J,8,FALSE),"")</f>
        <v>Christopher Columbus</v>
      </c>
      <c r="G113" s="37">
        <f>IF($C113&lt;&gt;"",VLOOKUP($C113,授業リスト!$A:$J,4,FALSE),"")</f>
        <v>2</v>
      </c>
      <c r="H113" s="37" t="str">
        <f>IF($C113&lt;&gt;"",VLOOKUP($C113,授業リスト!$A:$J,5,FALSE),"")</f>
        <v>前</v>
      </c>
      <c r="I113" s="37" t="str">
        <f>IF($C113&lt;&gt;"",VLOOKUP($C113,授業リスト!$A:$J,6,FALSE),"")</f>
        <v>月</v>
      </c>
      <c r="J113" s="37">
        <f>IF($C113&lt;&gt;"",VLOOKUP($C113,授業リスト!$A:$J,7,FALSE),"")</f>
        <v>1</v>
      </c>
      <c r="K113" s="38">
        <f>IF($C113&lt;&gt;"",VLOOKUP($C113,授業リスト!$A:$J,9,FALSE),"")</f>
        <v>3</v>
      </c>
      <c r="L113" s="4">
        <v>5</v>
      </c>
      <c r="M113" s="34" t="s">
        <v>406</v>
      </c>
      <c r="N113" s="34"/>
      <c r="O113" s="34"/>
      <c r="P113" s="34"/>
      <c r="Q113" s="34"/>
      <c r="R113" s="2"/>
    </row>
    <row r="114" spans="1:18" ht="16.5" customHeight="1">
      <c r="A114" s="37">
        <v>3</v>
      </c>
      <c r="B114" s="37" t="s">
        <v>69</v>
      </c>
      <c r="C114" s="85"/>
      <c r="D114" s="37" t="str">
        <f>IF($C114&lt;&gt;"",VLOOKUP($C114,授業リスト!$A:$J,2,FALSE),"")</f>
        <v/>
      </c>
      <c r="E114" s="37" t="str">
        <f>IF($C114&lt;&gt;"",VLOOKUP($C114,授業リスト!$A:$J,3,FALSE),"")</f>
        <v/>
      </c>
      <c r="F114" s="37" t="str">
        <f>IF($C114&lt;&gt;"",VLOOKUP($C114,授業リスト!$A:$J,8,FALSE),"")</f>
        <v/>
      </c>
      <c r="G114" s="37" t="str">
        <f>IF($C114&lt;&gt;"",VLOOKUP($C114,授業リスト!$A:$J,4,FALSE),"")</f>
        <v/>
      </c>
      <c r="H114" s="37" t="str">
        <f>IF($C114&lt;&gt;"",VLOOKUP($C114,授業リスト!$A:$J,5,FALSE),"")</f>
        <v/>
      </c>
      <c r="I114" s="37" t="str">
        <f>IF($C114&lt;&gt;"",VLOOKUP($C114,授業リスト!$A:$J,6,FALSE),"")</f>
        <v/>
      </c>
      <c r="J114" s="37" t="str">
        <f>IF($C114&lt;&gt;"",VLOOKUP($C114,授業リスト!$A:$J,7,FALSE),"")</f>
        <v/>
      </c>
      <c r="K114" s="38" t="str">
        <f>IF($C114&lt;&gt;"",VLOOKUP($C114,授業リスト!$A:$J,9,FALSE),"")</f>
        <v/>
      </c>
      <c r="L114" s="4">
        <v>6</v>
      </c>
      <c r="M114" s="34"/>
      <c r="N114" s="34"/>
      <c r="O114" s="34"/>
      <c r="P114" s="34"/>
      <c r="Q114" s="34"/>
      <c r="R114" s="2"/>
    </row>
    <row r="115" spans="1:18" ht="16.5" customHeight="1">
      <c r="A115" s="37">
        <v>3</v>
      </c>
      <c r="B115" s="37" t="s">
        <v>69</v>
      </c>
      <c r="C115" s="85"/>
      <c r="D115" s="37" t="str">
        <f>IF($C115&lt;&gt;"",VLOOKUP($C115,授業リスト!$A:$J,2,FALSE),"")</f>
        <v/>
      </c>
      <c r="E115" s="37" t="str">
        <f>IF($C115&lt;&gt;"",VLOOKUP($C115,授業リスト!$A:$J,3,FALSE),"")</f>
        <v/>
      </c>
      <c r="F115" s="37" t="str">
        <f>IF($C115&lt;&gt;"",VLOOKUP($C115,授業リスト!$A:$J,8,FALSE),"")</f>
        <v/>
      </c>
      <c r="G115" s="37" t="str">
        <f>IF($C115&lt;&gt;"",VLOOKUP($C115,授業リスト!$A:$J,4,FALSE),"")</f>
        <v/>
      </c>
      <c r="H115" s="37" t="str">
        <f>IF($C115&lt;&gt;"",VLOOKUP($C115,授業リスト!$A:$J,5,FALSE),"")</f>
        <v/>
      </c>
      <c r="I115" s="37" t="str">
        <f>IF($C115&lt;&gt;"",VLOOKUP($C115,授業リスト!$A:$J,6,FALSE),"")</f>
        <v/>
      </c>
      <c r="J115" s="37" t="str">
        <f>IF($C115&lt;&gt;"",VLOOKUP($C115,授業リスト!$A:$J,7,FALSE),"")</f>
        <v/>
      </c>
      <c r="K115" s="38" t="str">
        <f>IF($C115&lt;&gt;"",VLOOKUP($C115,授業リスト!$A:$J,9,FALSE),"")</f>
        <v/>
      </c>
      <c r="L115" s="4" t="s">
        <v>1160</v>
      </c>
      <c r="M115" s="102" t="s">
        <v>1112</v>
      </c>
      <c r="N115" s="103"/>
      <c r="O115" s="103"/>
      <c r="P115" s="103"/>
      <c r="Q115" s="104"/>
      <c r="R115" s="2"/>
    </row>
    <row r="116" spans="1:18" ht="16.5" customHeight="1">
      <c r="A116" s="37">
        <v>3</v>
      </c>
      <c r="B116" s="37" t="s">
        <v>69</v>
      </c>
      <c r="C116" s="85"/>
      <c r="D116" s="37" t="str">
        <f>IF($C116&lt;&gt;"",VLOOKUP($C116,授業リスト!$A:$J,2,FALSE),"")</f>
        <v/>
      </c>
      <c r="E116" s="37" t="str">
        <f>IF($C116&lt;&gt;"",VLOOKUP($C116,授業リスト!$A:$J,3,FALSE),"")</f>
        <v/>
      </c>
      <c r="F116" s="37" t="str">
        <f>IF($C116&lt;&gt;"",VLOOKUP($C116,授業リスト!$A:$J,8,FALSE),"")</f>
        <v/>
      </c>
      <c r="G116" s="37" t="str">
        <f>IF($C116&lt;&gt;"",VLOOKUP($C116,授業リスト!$A:$J,4,FALSE),"")</f>
        <v/>
      </c>
      <c r="H116" s="37" t="str">
        <f>IF($C116&lt;&gt;"",VLOOKUP($C116,授業リスト!$A:$J,5,FALSE),"")</f>
        <v/>
      </c>
      <c r="I116" s="37" t="str">
        <f>IF($C116&lt;&gt;"",VLOOKUP($C116,授業リスト!$A:$J,6,FALSE),"")</f>
        <v/>
      </c>
      <c r="J116" s="37" t="str">
        <f>IF($C116&lt;&gt;"",VLOOKUP($C116,授業リスト!$A:$J,7,FALSE),"")</f>
        <v/>
      </c>
      <c r="K116" s="38" t="str">
        <f>IF($C116&lt;&gt;"",VLOOKUP($C116,授業リスト!$A:$J,9,FALSE),"")</f>
        <v/>
      </c>
      <c r="L116" s="15"/>
      <c r="M116" s="15"/>
      <c r="N116" s="15"/>
      <c r="O116" s="15"/>
      <c r="P116" s="15"/>
      <c r="Q116" s="15"/>
      <c r="R116" s="2"/>
    </row>
    <row r="117" spans="1:18" ht="16.5" customHeight="1">
      <c r="A117" s="37">
        <v>3</v>
      </c>
      <c r="B117" s="37" t="s">
        <v>69</v>
      </c>
      <c r="C117" s="85"/>
      <c r="D117" s="37" t="str">
        <f>IF($C117&lt;&gt;"",VLOOKUP($C117,授業リスト!$A:$J,2,FALSE),"")</f>
        <v/>
      </c>
      <c r="E117" s="37" t="str">
        <f>IF($C117&lt;&gt;"",VLOOKUP($C117,授業リスト!$A:$J,3,FALSE),"")</f>
        <v/>
      </c>
      <c r="F117" s="37" t="str">
        <f>IF($C117&lt;&gt;"",VLOOKUP($C117,授業リスト!$A:$J,8,FALSE),"")</f>
        <v/>
      </c>
      <c r="G117" s="37" t="str">
        <f>IF($C117&lt;&gt;"",VLOOKUP($C117,授業リスト!$A:$J,4,FALSE),"")</f>
        <v/>
      </c>
      <c r="H117" s="37" t="str">
        <f>IF($C117&lt;&gt;"",VLOOKUP($C117,授業リスト!$A:$J,5,FALSE),"")</f>
        <v/>
      </c>
      <c r="I117" s="37" t="str">
        <f>IF($C117&lt;&gt;"",VLOOKUP($C117,授業リスト!$A:$J,6,FALSE),"")</f>
        <v/>
      </c>
      <c r="J117" s="37" t="str">
        <f>IF($C117&lt;&gt;"",VLOOKUP($C117,授業リスト!$A:$J,7,FALSE),"")</f>
        <v/>
      </c>
      <c r="K117" s="38" t="str">
        <f>IF($C117&lt;&gt;"",VLOOKUP($C117,授業リスト!$A:$J,9,FALSE),"")</f>
        <v/>
      </c>
      <c r="L117" s="15"/>
      <c r="M117" s="15"/>
      <c r="N117" s="15"/>
      <c r="O117" s="15"/>
      <c r="P117" s="15"/>
      <c r="Q117" s="15"/>
    </row>
    <row r="118" spans="1:18" ht="16.5" customHeight="1">
      <c r="A118" s="37">
        <v>3</v>
      </c>
      <c r="B118" s="37" t="s">
        <v>69</v>
      </c>
      <c r="C118" s="85"/>
      <c r="D118" s="37" t="str">
        <f>IF($C118&lt;&gt;"",VLOOKUP($C118,授業リスト!$A:$J,2,FALSE),"")</f>
        <v/>
      </c>
      <c r="E118" s="37" t="str">
        <f>IF($C118&lt;&gt;"",VLOOKUP($C118,授業リスト!$A:$J,3,FALSE),"")</f>
        <v/>
      </c>
      <c r="F118" s="37" t="str">
        <f>IF($C118&lt;&gt;"",VLOOKUP($C118,授業リスト!$A:$J,8,FALSE),"")</f>
        <v/>
      </c>
      <c r="G118" s="37" t="str">
        <f>IF($C118&lt;&gt;"",VLOOKUP($C118,授業リスト!$A:$J,4,FALSE),"")</f>
        <v/>
      </c>
      <c r="H118" s="37" t="str">
        <f>IF($C118&lt;&gt;"",VLOOKUP($C118,授業リスト!$A:$J,5,FALSE),"")</f>
        <v/>
      </c>
      <c r="I118" s="37" t="str">
        <f>IF($C118&lt;&gt;"",VLOOKUP($C118,授業リスト!$A:$J,6,FALSE),"")</f>
        <v/>
      </c>
      <c r="J118" s="37" t="str">
        <f>IF($C118&lt;&gt;"",VLOOKUP($C118,授業リスト!$A:$J,7,FALSE),"")</f>
        <v/>
      </c>
      <c r="K118" s="38" t="str">
        <f>IF($C118&lt;&gt;"",VLOOKUP($C118,授業リスト!$A:$J,9,FALSE),"")</f>
        <v/>
      </c>
      <c r="L118" s="15"/>
      <c r="M118" s="15"/>
      <c r="N118" s="15"/>
      <c r="O118" s="15"/>
      <c r="P118" s="15"/>
      <c r="Q118" s="15"/>
    </row>
    <row r="119" spans="1:18" ht="16.5" customHeight="1">
      <c r="A119" s="37">
        <v>3</v>
      </c>
      <c r="B119" s="37" t="s">
        <v>69</v>
      </c>
      <c r="C119" s="85"/>
      <c r="D119" s="37" t="str">
        <f>IF($C119&lt;&gt;"",VLOOKUP($C119,授業リスト!$A:$J,2,FALSE),"")</f>
        <v/>
      </c>
      <c r="E119" s="37" t="str">
        <f>IF($C119&lt;&gt;"",VLOOKUP($C119,授業リスト!$A:$J,3,FALSE),"")</f>
        <v/>
      </c>
      <c r="F119" s="37" t="str">
        <f>IF($C119&lt;&gt;"",VLOOKUP($C119,授業リスト!$A:$J,8,FALSE),"")</f>
        <v/>
      </c>
      <c r="G119" s="37" t="str">
        <f>IF($C119&lt;&gt;"",VLOOKUP($C119,授業リスト!$A:$J,4,FALSE),"")</f>
        <v/>
      </c>
      <c r="H119" s="37" t="str">
        <f>IF($C119&lt;&gt;"",VLOOKUP($C119,授業リスト!$A:$J,5,FALSE),"")</f>
        <v/>
      </c>
      <c r="I119" s="37" t="str">
        <f>IF($C119&lt;&gt;"",VLOOKUP($C119,授業リスト!$A:$J,6,FALSE),"")</f>
        <v/>
      </c>
      <c r="J119" s="37" t="str">
        <f>IF($C119&lt;&gt;"",VLOOKUP($C119,授業リスト!$A:$J,7,FALSE),"")</f>
        <v/>
      </c>
      <c r="K119" s="38" t="str">
        <f>IF($C119&lt;&gt;"",VLOOKUP($C119,授業リスト!$A:$J,9,FALSE),"")</f>
        <v/>
      </c>
      <c r="L119" s="15"/>
      <c r="M119" s="15"/>
      <c r="N119" s="15"/>
      <c r="O119" s="15"/>
      <c r="P119" s="15"/>
      <c r="Q119" s="15"/>
    </row>
    <row r="120" spans="1:18" ht="16.5" customHeight="1">
      <c r="A120" s="37">
        <v>3</v>
      </c>
      <c r="B120" s="37" t="s">
        <v>69</v>
      </c>
      <c r="C120" s="85">
        <v>37262</v>
      </c>
      <c r="D120" s="37" t="str">
        <f>IF($C120&lt;&gt;"",VLOOKUP($C120,授業リスト!$A:$J,2,FALSE),"")</f>
        <v>Pre and Post-Instruction for Educational Practicum</v>
      </c>
      <c r="E120" s="37">
        <f>IF($C120&lt;&gt;"",VLOOKUP($C120,授業リスト!$A:$J,3,FALSE),"")</f>
        <v>0</v>
      </c>
      <c r="F120" s="37" t="str">
        <f>IF($C120&lt;&gt;"",VLOOKUP($C120,授業リスト!$A:$J,8,FALSE),"")</f>
        <v>Pablo Neruda</v>
      </c>
      <c r="G120" s="37">
        <f>IF($C120&lt;&gt;"",VLOOKUP($C120,授業リスト!$A:$J,4,FALSE),"")</f>
        <v>1</v>
      </c>
      <c r="H120" s="37">
        <f>IF($C120&lt;&gt;"",VLOOKUP($C120,授業リスト!$A:$J,5,FALSE),"")</f>
        <v>0</v>
      </c>
      <c r="I120" s="37" t="str">
        <f>IF($C120&lt;&gt;"",VLOOKUP($C120,授業リスト!$A:$J,6,FALSE),"")</f>
        <v>実習</v>
      </c>
      <c r="J120" s="37">
        <f>IF($C120&lt;&gt;"",VLOOKUP($C120,授業リスト!$A:$J,7,FALSE),"")</f>
        <v>0</v>
      </c>
      <c r="K120" s="38">
        <f>IF($C120&lt;&gt;"",VLOOKUP($C120,授業リスト!$A:$J,9,FALSE),"")</f>
        <v>3</v>
      </c>
      <c r="L120" s="15"/>
      <c r="M120" s="15"/>
      <c r="N120" s="15"/>
      <c r="O120" s="15"/>
      <c r="P120" s="15"/>
      <c r="Q120" s="15"/>
    </row>
    <row r="121" spans="1:18">
      <c r="A121" s="37">
        <v>3</v>
      </c>
      <c r="B121" s="37" t="s">
        <v>69</v>
      </c>
      <c r="C121" s="85">
        <v>37264</v>
      </c>
      <c r="D121" s="37" t="str">
        <f>IF($C121&lt;&gt;"",VLOOKUP($C121,授業リスト!$A:$J,2,FALSE),"")</f>
        <v>Educational Practicum (Secondary) I</v>
      </c>
      <c r="E121" s="37">
        <f>IF($C121&lt;&gt;"",VLOOKUP($C121,授業リスト!$A:$J,3,FALSE),"")</f>
        <v>0</v>
      </c>
      <c r="F121" s="37" t="str">
        <f>IF($C121&lt;&gt;"",VLOOKUP($C121,授業リスト!$A:$J,8,FALSE),"")</f>
        <v>Martin Luther King Sr.</v>
      </c>
      <c r="G121" s="37">
        <f>IF($C121&lt;&gt;"",VLOOKUP($C121,授業リスト!$A:$J,4,FALSE),"")</f>
        <v>4</v>
      </c>
      <c r="H121" s="37">
        <f>IF($C121&lt;&gt;"",VLOOKUP($C121,授業リスト!$A:$J,5,FALSE),"")</f>
        <v>0</v>
      </c>
      <c r="I121" s="37" t="str">
        <f>IF($C121&lt;&gt;"",VLOOKUP($C121,授業リスト!$A:$J,6,FALSE),"")</f>
        <v>実習</v>
      </c>
      <c r="J121" s="37">
        <f>IF($C121&lt;&gt;"",VLOOKUP($C121,授業リスト!$A:$J,7,FALSE),"")</f>
        <v>0</v>
      </c>
      <c r="K121" s="38">
        <f>IF($C121&lt;&gt;"",VLOOKUP($C121,授業リスト!$A:$J,9,FALSE),"")</f>
        <v>3</v>
      </c>
      <c r="L121" s="15"/>
      <c r="M121" s="15"/>
      <c r="N121" s="15"/>
      <c r="O121" s="15"/>
      <c r="P121" s="15"/>
      <c r="Q121" s="15"/>
    </row>
    <row r="122" spans="1:18">
      <c r="A122" s="37">
        <v>3</v>
      </c>
      <c r="B122" s="37" t="s">
        <v>69</v>
      </c>
      <c r="C122" s="85"/>
      <c r="D122" s="37" t="str">
        <f>IF($C122&lt;&gt;"",VLOOKUP($C122,授業リスト!$A:$J,2,FALSE),"")</f>
        <v/>
      </c>
      <c r="E122" s="37" t="str">
        <f>IF($C122&lt;&gt;"",VLOOKUP($C122,授業リスト!$A:$J,3,FALSE),"")</f>
        <v/>
      </c>
      <c r="F122" s="37" t="str">
        <f>IF($C122&lt;&gt;"",VLOOKUP($C122,授業リスト!$A:$J,8,FALSE),"")</f>
        <v/>
      </c>
      <c r="G122" s="37" t="str">
        <f>IF($C122&lt;&gt;"",VLOOKUP($C122,授業リスト!$A:$J,4,FALSE),"")</f>
        <v/>
      </c>
      <c r="H122" s="37" t="str">
        <f>IF($C122&lt;&gt;"",VLOOKUP($C122,授業リスト!$A:$J,5,FALSE),"")</f>
        <v/>
      </c>
      <c r="I122" s="37" t="str">
        <f>IF($C122&lt;&gt;"",VLOOKUP($C122,授業リスト!$A:$J,6,FALSE),"")</f>
        <v/>
      </c>
      <c r="J122" s="37" t="str">
        <f>IF($C122&lt;&gt;"",VLOOKUP($C122,授業リスト!$A:$J,7,FALSE),"")</f>
        <v/>
      </c>
      <c r="K122" s="38" t="str">
        <f>IF($C122&lt;&gt;"",VLOOKUP($C122,授業リスト!$A:$J,9,FALSE),"")</f>
        <v/>
      </c>
      <c r="L122" s="15"/>
      <c r="M122" s="15"/>
      <c r="N122" s="15"/>
      <c r="O122" s="15"/>
      <c r="P122" s="15"/>
      <c r="Q122" s="15"/>
    </row>
    <row r="123" spans="1:18">
      <c r="A123" s="37">
        <v>3</v>
      </c>
      <c r="B123" s="37" t="s">
        <v>69</v>
      </c>
      <c r="C123" s="85"/>
      <c r="D123" s="37" t="str">
        <f>IF($C123&lt;&gt;"",VLOOKUP($C123,授業リスト!$A:$J,2,FALSE),"")</f>
        <v/>
      </c>
      <c r="E123" s="37" t="str">
        <f>IF($C123&lt;&gt;"",VLOOKUP($C123,授業リスト!$A:$J,3,FALSE),"")</f>
        <v/>
      </c>
      <c r="F123" s="37" t="str">
        <f>IF($C123&lt;&gt;"",VLOOKUP($C123,授業リスト!$A:$J,8,FALSE),"")</f>
        <v/>
      </c>
      <c r="G123" s="37" t="str">
        <f>IF($C123&lt;&gt;"",VLOOKUP($C123,授業リスト!$A:$J,4,FALSE),"")</f>
        <v/>
      </c>
      <c r="H123" s="37" t="str">
        <f>IF($C123&lt;&gt;"",VLOOKUP($C123,授業リスト!$A:$J,5,FALSE),"")</f>
        <v/>
      </c>
      <c r="I123" s="37" t="str">
        <f>IF($C123&lt;&gt;"",VLOOKUP($C123,授業リスト!$A:$J,6,FALSE),"")</f>
        <v/>
      </c>
      <c r="J123" s="37" t="str">
        <f>IF($C123&lt;&gt;"",VLOOKUP($C123,授業リスト!$A:$J,7,FALSE),"")</f>
        <v/>
      </c>
      <c r="K123" s="38" t="str">
        <f>IF($C123&lt;&gt;"",VLOOKUP($C123,授業リスト!$A:$J,9,FALSE),"")</f>
        <v/>
      </c>
      <c r="L123" s="15"/>
      <c r="M123" s="15"/>
      <c r="N123" s="15"/>
      <c r="O123" s="15"/>
      <c r="P123" s="15"/>
      <c r="Q123" s="15"/>
    </row>
    <row r="124" spans="1:18">
      <c r="A124" s="37">
        <v>3</v>
      </c>
      <c r="B124" s="37" t="s">
        <v>69</v>
      </c>
      <c r="C124" s="85"/>
      <c r="D124" s="37" t="str">
        <f>IF($C124&lt;&gt;"",VLOOKUP($C124,授業リスト!$A:$J,2,FALSE),"")</f>
        <v/>
      </c>
      <c r="E124" s="37" t="str">
        <f>IF($C124&lt;&gt;"",VLOOKUP($C124,授業リスト!$A:$J,3,FALSE),"")</f>
        <v/>
      </c>
      <c r="F124" s="37" t="str">
        <f>IF($C124&lt;&gt;"",VLOOKUP($C124,授業リスト!$A:$J,8,FALSE),"")</f>
        <v/>
      </c>
      <c r="G124" s="37" t="str">
        <f>IF($C124&lt;&gt;"",VLOOKUP($C124,授業リスト!$A:$J,4,FALSE),"")</f>
        <v/>
      </c>
      <c r="H124" s="37" t="str">
        <f>IF($C124&lt;&gt;"",VLOOKUP($C124,授業リスト!$A:$J,5,FALSE),"")</f>
        <v/>
      </c>
      <c r="I124" s="37" t="str">
        <f>IF($C124&lt;&gt;"",VLOOKUP($C124,授業リスト!$A:$J,6,FALSE),"")</f>
        <v/>
      </c>
      <c r="J124" s="37" t="str">
        <f>IF($C124&lt;&gt;"",VLOOKUP($C124,授業リスト!$A:$J,7,FALSE),"")</f>
        <v/>
      </c>
      <c r="K124" s="38" t="str">
        <f>IF($C124&lt;&gt;"",VLOOKUP($C124,授業リスト!$A:$J,9,FALSE),"")</f>
        <v/>
      </c>
      <c r="L124" s="15"/>
      <c r="M124" s="15"/>
      <c r="N124" s="15"/>
      <c r="O124" s="15"/>
      <c r="P124" s="15"/>
      <c r="Q124" s="15"/>
    </row>
    <row r="125" spans="1:18">
      <c r="A125" s="37">
        <v>3</v>
      </c>
      <c r="B125" s="37" t="s">
        <v>69</v>
      </c>
      <c r="C125" s="85"/>
      <c r="D125" s="37" t="str">
        <f>IF($C125&lt;&gt;"",VLOOKUP($C125,授業リスト!$A:$J,2,FALSE),"")</f>
        <v/>
      </c>
      <c r="E125" s="37" t="str">
        <f>IF($C125&lt;&gt;"",VLOOKUP($C125,授業リスト!$A:$J,3,FALSE),"")</f>
        <v/>
      </c>
      <c r="F125" s="37" t="str">
        <f>IF($C125&lt;&gt;"",VLOOKUP($C125,授業リスト!$A:$J,8,FALSE),"")</f>
        <v/>
      </c>
      <c r="G125" s="37" t="str">
        <f>IF($C125&lt;&gt;"",VLOOKUP($C125,授業リスト!$A:$J,4,FALSE),"")</f>
        <v/>
      </c>
      <c r="H125" s="37" t="str">
        <f>IF($C125&lt;&gt;"",VLOOKUP($C125,授業リスト!$A:$J,5,FALSE),"")</f>
        <v/>
      </c>
      <c r="I125" s="37" t="str">
        <f>IF($C125&lt;&gt;"",VLOOKUP($C125,授業リスト!$A:$J,6,FALSE),"")</f>
        <v/>
      </c>
      <c r="J125" s="37" t="str">
        <f>IF($C125&lt;&gt;"",VLOOKUP($C125,授業リスト!$A:$J,7,FALSE),"")</f>
        <v/>
      </c>
      <c r="K125" s="38" t="str">
        <f>IF($C125&lt;&gt;"",VLOOKUP($C125,授業リスト!$A:$J,9,FALSE),"")</f>
        <v/>
      </c>
      <c r="L125" s="15"/>
      <c r="M125" s="15"/>
      <c r="N125" s="15"/>
      <c r="O125" s="15"/>
      <c r="P125" s="15"/>
      <c r="Q125" s="15"/>
    </row>
    <row r="126" spans="1:18">
      <c r="A126" s="37">
        <v>3</v>
      </c>
      <c r="B126" s="37" t="s">
        <v>69</v>
      </c>
      <c r="C126" s="85"/>
      <c r="D126" s="37" t="str">
        <f>IF($C126&lt;&gt;"",VLOOKUP($C126,授業リスト!$A:$J,2,FALSE),"")</f>
        <v/>
      </c>
      <c r="E126" s="37" t="str">
        <f>IF($C126&lt;&gt;"",VLOOKUP($C126,授業リスト!$A:$J,3,FALSE),"")</f>
        <v/>
      </c>
      <c r="F126" s="37" t="str">
        <f>IF($C126&lt;&gt;"",VLOOKUP($C126,授業リスト!$A:$J,8,FALSE),"")</f>
        <v/>
      </c>
      <c r="G126" s="37" t="str">
        <f>IF($C126&lt;&gt;"",VLOOKUP($C126,授業リスト!$A:$J,4,FALSE),"")</f>
        <v/>
      </c>
      <c r="H126" s="37" t="str">
        <f>IF($C126&lt;&gt;"",VLOOKUP($C126,授業リスト!$A:$J,5,FALSE),"")</f>
        <v/>
      </c>
      <c r="I126" s="37" t="str">
        <f>IF($C126&lt;&gt;"",VLOOKUP($C126,授業リスト!$A:$J,6,FALSE),"")</f>
        <v/>
      </c>
      <c r="J126" s="37" t="str">
        <f>IF($C126&lt;&gt;"",VLOOKUP($C126,授業リスト!$A:$J,7,FALSE),"")</f>
        <v/>
      </c>
      <c r="K126" s="38" t="str">
        <f>IF($C126&lt;&gt;"",VLOOKUP($C126,授業リスト!$A:$J,9,FALSE),"")</f>
        <v/>
      </c>
      <c r="L126" s="15"/>
      <c r="M126" s="15"/>
      <c r="N126" s="15"/>
      <c r="O126" s="15"/>
      <c r="P126" s="15"/>
      <c r="Q126" s="15"/>
    </row>
    <row r="127" spans="1:18">
      <c r="A127" s="37">
        <v>3</v>
      </c>
      <c r="B127" s="37" t="s">
        <v>69</v>
      </c>
      <c r="C127" s="85">
        <v>37488</v>
      </c>
      <c r="D127" s="37" t="str">
        <f>IF($C127&lt;&gt;"",VLOOKUP($C127,授業リスト!$A:$J,2,FALSE),"")</f>
        <v>English Presentation</v>
      </c>
      <c r="E127" s="37">
        <f>IF($C127&lt;&gt;"",VLOOKUP($C127,授業リスト!$A:$J,3,FALSE),"")</f>
        <v>0</v>
      </c>
      <c r="F127" s="37" t="str">
        <f>IF($C127&lt;&gt;"",VLOOKUP($C127,授業リスト!$A:$J,8,FALSE),"")</f>
        <v>William Shakespeare</v>
      </c>
      <c r="G127" s="37">
        <f>IF($C127&lt;&gt;"",VLOOKUP($C127,授業リスト!$A:$J,4,FALSE),"")</f>
        <v>2</v>
      </c>
      <c r="H127" s="37" t="str">
        <f>IF($C127&lt;&gt;"",VLOOKUP($C127,授業リスト!$A:$J,5,FALSE),"")</f>
        <v>前</v>
      </c>
      <c r="I127" s="37" t="str">
        <f>IF($C127&lt;&gt;"",VLOOKUP($C127,授業リスト!$A:$J,6,FALSE),"")</f>
        <v>月</v>
      </c>
      <c r="J127" s="37">
        <f>IF($C127&lt;&gt;"",VLOOKUP($C127,授業リスト!$A:$J,7,FALSE),"")</f>
        <v>5</v>
      </c>
      <c r="K127" s="38" t="str">
        <f>IF($C127&lt;&gt;"",VLOOKUP($C127,授業リスト!$A:$J,9,FALSE),"")</f>
        <v>1～4</v>
      </c>
      <c r="L127" s="15"/>
      <c r="M127" s="15"/>
      <c r="N127" s="15"/>
      <c r="O127" s="15"/>
      <c r="P127" s="15"/>
      <c r="Q127" s="15"/>
    </row>
    <row r="128" spans="1:18">
      <c r="A128" s="37">
        <v>3</v>
      </c>
      <c r="B128" s="37" t="s">
        <v>69</v>
      </c>
      <c r="C128" s="85"/>
      <c r="D128" s="37" t="str">
        <f>IF($C128&lt;&gt;"",VLOOKUP($C128,授業リスト!$A:$J,2,FALSE),"")</f>
        <v/>
      </c>
      <c r="E128" s="37" t="str">
        <f>IF($C128&lt;&gt;"",VLOOKUP($C128,授業リスト!$A:$J,3,FALSE),"")</f>
        <v/>
      </c>
      <c r="F128" s="37" t="str">
        <f>IF($C128&lt;&gt;"",VLOOKUP($C128,授業リスト!$A:$J,8,FALSE),"")</f>
        <v/>
      </c>
      <c r="G128" s="37" t="str">
        <f>IF($C128&lt;&gt;"",VLOOKUP($C128,授業リスト!$A:$J,4,FALSE),"")</f>
        <v/>
      </c>
      <c r="H128" s="37" t="str">
        <f>IF($C128&lt;&gt;"",VLOOKUP($C128,授業リスト!$A:$J,5,FALSE),"")</f>
        <v/>
      </c>
      <c r="I128" s="37" t="str">
        <f>IF($C128&lt;&gt;"",VLOOKUP($C128,授業リスト!$A:$J,6,FALSE),"")</f>
        <v/>
      </c>
      <c r="J128" s="37" t="str">
        <f>IF($C128&lt;&gt;"",VLOOKUP($C128,授業リスト!$A:$J,7,FALSE),"")</f>
        <v/>
      </c>
      <c r="K128" s="38" t="str">
        <f>IF($C128&lt;&gt;"",VLOOKUP($C128,授業リスト!$A:$J,9,FALSE),"")</f>
        <v/>
      </c>
      <c r="L128" s="15"/>
      <c r="M128" s="15"/>
      <c r="N128" s="15"/>
      <c r="O128" s="15"/>
      <c r="P128" s="15"/>
      <c r="Q128" s="15"/>
    </row>
    <row r="129" spans="1:18">
      <c r="A129" s="37">
        <v>3</v>
      </c>
      <c r="B129" s="37" t="s">
        <v>69</v>
      </c>
      <c r="C129" s="85"/>
      <c r="D129" s="37" t="str">
        <f>IF($C129&lt;&gt;"",VLOOKUP($C129,授業リスト!$A:$J,2,FALSE),"")</f>
        <v/>
      </c>
      <c r="E129" s="37" t="str">
        <f>IF($C129&lt;&gt;"",VLOOKUP($C129,授業リスト!$A:$J,3,FALSE),"")</f>
        <v/>
      </c>
      <c r="F129" s="37" t="str">
        <f>IF($C129&lt;&gt;"",VLOOKUP($C129,授業リスト!$A:$J,8,FALSE),"")</f>
        <v/>
      </c>
      <c r="G129" s="37" t="str">
        <f>IF($C129&lt;&gt;"",VLOOKUP($C129,授業リスト!$A:$J,4,FALSE),"")</f>
        <v/>
      </c>
      <c r="H129" s="37" t="str">
        <f>IF($C129&lt;&gt;"",VLOOKUP($C129,授業リスト!$A:$J,5,FALSE),"")</f>
        <v/>
      </c>
      <c r="I129" s="37" t="str">
        <f>IF($C129&lt;&gt;"",VLOOKUP($C129,授業リスト!$A:$J,6,FALSE),"")</f>
        <v/>
      </c>
      <c r="J129" s="37" t="str">
        <f>IF($C129&lt;&gt;"",VLOOKUP($C129,授業リスト!$A:$J,7,FALSE),"")</f>
        <v/>
      </c>
      <c r="K129" s="38" t="str">
        <f>IF($C129&lt;&gt;"",VLOOKUP($C129,授業リスト!$A:$J,9,FALSE),"")</f>
        <v/>
      </c>
      <c r="L129" s="15"/>
      <c r="M129" s="15"/>
      <c r="N129" s="15"/>
      <c r="O129" s="15"/>
      <c r="P129" s="15"/>
      <c r="Q129" s="15"/>
    </row>
    <row r="130" spans="1:18">
      <c r="A130" s="37">
        <v>3</v>
      </c>
      <c r="B130" s="37" t="s">
        <v>69</v>
      </c>
      <c r="C130" s="85"/>
      <c r="D130" s="37" t="str">
        <f>IF($C130&lt;&gt;"",VLOOKUP($C130,授業リスト!$A:$J,2,FALSE),"")</f>
        <v/>
      </c>
      <c r="E130" s="37" t="str">
        <f>IF($C130&lt;&gt;"",VLOOKUP($C130,授業リスト!$A:$J,3,FALSE),"")</f>
        <v/>
      </c>
      <c r="F130" s="37" t="str">
        <f>IF($C130&lt;&gt;"",VLOOKUP($C130,授業リスト!$A:$J,8,FALSE),"")</f>
        <v/>
      </c>
      <c r="G130" s="37" t="str">
        <f>IF($C130&lt;&gt;"",VLOOKUP($C130,授業リスト!$A:$J,4,FALSE),"")</f>
        <v/>
      </c>
      <c r="H130" s="37" t="str">
        <f>IF($C130&lt;&gt;"",VLOOKUP($C130,授業リスト!$A:$J,5,FALSE),"")</f>
        <v/>
      </c>
      <c r="I130" s="37" t="str">
        <f>IF($C130&lt;&gt;"",VLOOKUP($C130,授業リスト!$A:$J,6,FALSE),"")</f>
        <v/>
      </c>
      <c r="J130" s="37" t="str">
        <f>IF($C130&lt;&gt;"",VLOOKUP($C130,授業リスト!$A:$J,7,FALSE),"")</f>
        <v/>
      </c>
      <c r="K130" s="38" t="str">
        <f>IF($C130&lt;&gt;"",VLOOKUP($C130,授業リスト!$A:$J,9,FALSE),"")</f>
        <v/>
      </c>
      <c r="L130" s="15"/>
      <c r="M130" s="15"/>
      <c r="N130" s="15"/>
      <c r="O130" s="15"/>
      <c r="P130" s="15"/>
      <c r="Q130" s="15"/>
    </row>
    <row r="131" spans="1:18">
      <c r="A131" s="37">
        <v>3</v>
      </c>
      <c r="B131" s="37" t="s">
        <v>69</v>
      </c>
      <c r="C131" s="85"/>
      <c r="D131" s="37" t="str">
        <f>IF($C131&lt;&gt;"",VLOOKUP($C131,授業リスト!$A:$J,2,FALSE),"")</f>
        <v/>
      </c>
      <c r="E131" s="37" t="str">
        <f>IF($C131&lt;&gt;"",VLOOKUP($C131,授業リスト!$A:$J,3,FALSE),"")</f>
        <v/>
      </c>
      <c r="F131" s="37" t="str">
        <f>IF($C131&lt;&gt;"",VLOOKUP($C131,授業リスト!$A:$J,8,FALSE),"")</f>
        <v/>
      </c>
      <c r="G131" s="37" t="str">
        <f>IF($C131&lt;&gt;"",VLOOKUP($C131,授業リスト!$A:$J,4,FALSE),"")</f>
        <v/>
      </c>
      <c r="H131" s="37" t="str">
        <f>IF($C131&lt;&gt;"",VLOOKUP($C131,授業リスト!$A:$J,5,FALSE),"")</f>
        <v/>
      </c>
      <c r="I131" s="37" t="str">
        <f>IF($C131&lt;&gt;"",VLOOKUP($C131,授業リスト!$A:$J,6,FALSE),"")</f>
        <v/>
      </c>
      <c r="J131" s="37" t="str">
        <f>IF($C131&lt;&gt;"",VLOOKUP($C131,授業リスト!$A:$J,7,FALSE),"")</f>
        <v/>
      </c>
      <c r="K131" s="38" t="str">
        <f>IF($C131&lt;&gt;"",VLOOKUP($C131,授業リスト!$A:$J,9,FALSE),"")</f>
        <v/>
      </c>
      <c r="L131" s="15"/>
      <c r="M131" s="15"/>
      <c r="N131" s="15"/>
      <c r="O131" s="15"/>
      <c r="P131" s="15"/>
      <c r="Q131" s="15"/>
    </row>
    <row r="132" spans="1:18">
      <c r="A132" s="37">
        <v>3</v>
      </c>
      <c r="B132" s="37" t="s">
        <v>69</v>
      </c>
      <c r="C132" s="85"/>
      <c r="D132" s="37" t="str">
        <f>IF($C132&lt;&gt;"",VLOOKUP($C132,授業リスト!$A:$J,2,FALSE),"")</f>
        <v/>
      </c>
      <c r="E132" s="37" t="str">
        <f>IF($C132&lt;&gt;"",VLOOKUP($C132,授業リスト!$A:$J,3,FALSE),"")</f>
        <v/>
      </c>
      <c r="F132" s="37" t="str">
        <f>IF($C132&lt;&gt;"",VLOOKUP($C132,授業リスト!$A:$J,8,FALSE),"")</f>
        <v/>
      </c>
      <c r="G132" s="37" t="str">
        <f>IF($C132&lt;&gt;"",VLOOKUP($C132,授業リスト!$A:$J,4,FALSE),"")</f>
        <v/>
      </c>
      <c r="H132" s="37" t="str">
        <f>IF($C132&lt;&gt;"",VLOOKUP($C132,授業リスト!$A:$J,5,FALSE),"")</f>
        <v/>
      </c>
      <c r="I132" s="37" t="str">
        <f>IF($C132&lt;&gt;"",VLOOKUP($C132,授業リスト!$A:$J,6,FALSE),"")</f>
        <v/>
      </c>
      <c r="J132" s="37" t="str">
        <f>IF($C132&lt;&gt;"",VLOOKUP($C132,授業リスト!$A:$J,7,FALSE),"")</f>
        <v/>
      </c>
      <c r="K132" s="38" t="str">
        <f>IF($C132&lt;&gt;"",VLOOKUP($C132,授業リスト!$A:$J,9,FALSE),"")</f>
        <v/>
      </c>
      <c r="L132" s="15"/>
      <c r="M132" s="15"/>
      <c r="N132" s="15"/>
      <c r="O132" s="15"/>
      <c r="P132" s="15"/>
      <c r="Q132" s="15"/>
    </row>
    <row r="133" spans="1:18">
      <c r="A133" s="40">
        <v>3</v>
      </c>
      <c r="B133" s="40" t="s">
        <v>69</v>
      </c>
      <c r="C133" s="86"/>
      <c r="D133" s="40" t="str">
        <f>IF($C133&lt;&gt;"",VLOOKUP($C133,授業リスト!$A:$J,2,FALSE),"")</f>
        <v/>
      </c>
      <c r="E133" s="40" t="str">
        <f>IF($C133&lt;&gt;"",VLOOKUP($C133,授業リスト!$A:$J,3,FALSE),"")</f>
        <v/>
      </c>
      <c r="F133" s="40" t="str">
        <f>IF($C133&lt;&gt;"",VLOOKUP($C133,授業リスト!$A:$J,8,FALSE),"")</f>
        <v/>
      </c>
      <c r="G133" s="40" t="str">
        <f>IF($C133&lt;&gt;"",VLOOKUP($C133,授業リスト!$A:$J,4,FALSE),"")</f>
        <v/>
      </c>
      <c r="H133" s="40" t="str">
        <f>IF($C133&lt;&gt;"",VLOOKUP($C133,授業リスト!$A:$J,5,FALSE),"")</f>
        <v/>
      </c>
      <c r="I133" s="40" t="str">
        <f>IF($C133&lt;&gt;"",VLOOKUP($C133,授業リスト!$A:$J,6,FALSE),"")</f>
        <v/>
      </c>
      <c r="J133" s="40" t="str">
        <f>IF($C133&lt;&gt;"",VLOOKUP($C133,授業リスト!$A:$J,7,FALSE),"")</f>
        <v/>
      </c>
      <c r="K133" s="41" t="str">
        <f>IF($C133&lt;&gt;"",VLOOKUP($C133,授業リスト!$A:$J,9,FALSE),"")</f>
        <v/>
      </c>
      <c r="L133" s="15"/>
      <c r="M133" s="15"/>
      <c r="N133" s="15"/>
      <c r="O133" s="15"/>
      <c r="P133" s="15"/>
      <c r="Q133" s="15"/>
    </row>
    <row r="134" spans="1:18" ht="18">
      <c r="A134">
        <v>3</v>
      </c>
      <c r="B134" t="s">
        <v>47</v>
      </c>
      <c r="C134" s="87">
        <v>37231</v>
      </c>
      <c r="D134" t="str">
        <f>IF($C134&lt;&gt;"",VLOOKUP($C134,授業リスト!$A:$J,2,FALSE),"")</f>
        <v>Teaching Methods for Secondary English III</v>
      </c>
      <c r="E134">
        <f>IF($C134&lt;&gt;"",VLOOKUP($C134,授業リスト!$A:$J,3,FALSE),"")</f>
        <v>0</v>
      </c>
      <c r="F134" t="str">
        <f>IF($C134&lt;&gt;"",VLOOKUP($C134,授業リスト!$A:$J,8,FALSE),"")</f>
        <v>Antoine de Saint-Exupéry</v>
      </c>
      <c r="G134">
        <f>IF($C134&lt;&gt;"",VLOOKUP($C134,授業リスト!$A:$J,4,FALSE),"")</f>
        <v>2</v>
      </c>
      <c r="H134" t="str">
        <f>IF($C134&lt;&gt;"",VLOOKUP($C134,授業リスト!$A:$J,5,FALSE),"")</f>
        <v>後</v>
      </c>
      <c r="I134" t="str">
        <f>IF($C134&lt;&gt;"",VLOOKUP($C134,授業リスト!$A:$J,6,FALSE),"")</f>
        <v>金</v>
      </c>
      <c r="J134">
        <f>IF($C134&lt;&gt;"",VLOOKUP($C134,授業リスト!$A:$J,7,FALSE),"")</f>
        <v>3</v>
      </c>
      <c r="K134" s="30">
        <f>IF($C134&lt;&gt;"",VLOOKUP($C134,授業リスト!$A:$J,9,FALSE),"")</f>
        <v>3</v>
      </c>
      <c r="L134" s="2"/>
      <c r="M134" s="3" t="s">
        <v>1156</v>
      </c>
      <c r="N134" s="95" t="s">
        <v>1155</v>
      </c>
      <c r="O134" s="3" t="s">
        <v>1157</v>
      </c>
      <c r="P134" s="3" t="s">
        <v>1158</v>
      </c>
      <c r="Q134" s="3" t="s">
        <v>1159</v>
      </c>
      <c r="R134" s="2"/>
    </row>
    <row r="135" spans="1:18">
      <c r="A135">
        <v>3</v>
      </c>
      <c r="B135" t="s">
        <v>47</v>
      </c>
      <c r="C135" s="87"/>
      <c r="D135" t="str">
        <f>IF($C135&lt;&gt;"",VLOOKUP($C135,授業リスト!$A:$J,2,FALSE),"")</f>
        <v/>
      </c>
      <c r="E135" t="str">
        <f>IF($C135&lt;&gt;"",VLOOKUP($C135,授業リスト!$A:$J,3,FALSE),"")</f>
        <v/>
      </c>
      <c r="F135" t="str">
        <f>IF($C135&lt;&gt;"",VLOOKUP($C135,授業リスト!$A:$J,8,FALSE),"")</f>
        <v/>
      </c>
      <c r="G135" t="str">
        <f>IF($C135&lt;&gt;"",VLOOKUP($C135,授業リスト!$A:$J,4,FALSE),"")</f>
        <v/>
      </c>
      <c r="H135" t="str">
        <f>IF($C135&lt;&gt;"",VLOOKUP($C135,授業リスト!$A:$J,5,FALSE),"")</f>
        <v/>
      </c>
      <c r="I135" t="str">
        <f>IF($C135&lt;&gt;"",VLOOKUP($C135,授業リスト!$A:$J,6,FALSE),"")</f>
        <v/>
      </c>
      <c r="J135" t="str">
        <f>IF($C135&lt;&gt;"",VLOOKUP($C135,授業リスト!$A:$J,7,FALSE),"")</f>
        <v/>
      </c>
      <c r="K135" s="30" t="str">
        <f>IF($C135&lt;&gt;"",VLOOKUP($C135,授業リスト!$A:$J,9,FALSE),"")</f>
        <v/>
      </c>
      <c r="L135" s="4">
        <v>1</v>
      </c>
      <c r="M135" s="34"/>
      <c r="N135" s="34"/>
      <c r="O135" s="34"/>
      <c r="P135" s="34"/>
      <c r="Q135" s="34"/>
      <c r="R135" s="2"/>
    </row>
    <row r="136" spans="1:18" ht="30">
      <c r="A136">
        <v>3</v>
      </c>
      <c r="B136" t="s">
        <v>47</v>
      </c>
      <c r="C136" s="87">
        <v>37314</v>
      </c>
      <c r="D136" t="str">
        <f>IF($C136&lt;&gt;"",VLOOKUP($C136,授業リスト!$A:$J,2,FALSE),"")</f>
        <v>School Clinical Research</v>
      </c>
      <c r="E136">
        <f>IF($C136&lt;&gt;"",VLOOKUP($C136,授業リスト!$A:$J,3,FALSE),"")</f>
        <v>0</v>
      </c>
      <c r="F136" t="str">
        <f>IF($C136&lt;&gt;"",VLOOKUP($C136,授業リスト!$A:$J,8,FALSE),"")</f>
        <v>Robert E. Lee</v>
      </c>
      <c r="G136">
        <f>IF($C136&lt;&gt;"",VLOOKUP($C136,授業リスト!$A:$J,4,FALSE),"")</f>
        <v>2</v>
      </c>
      <c r="H136" t="str">
        <f>IF($C136&lt;&gt;"",VLOOKUP($C136,授業リスト!$A:$J,5,FALSE),"")</f>
        <v>後</v>
      </c>
      <c r="I136" t="str">
        <f>IF($C136&lt;&gt;"",VLOOKUP($C136,授業リスト!$A:$J,6,FALSE),"")</f>
        <v>未定</v>
      </c>
      <c r="J136" t="str">
        <f>IF($C136&lt;&gt;"",VLOOKUP($C136,授業リスト!$A:$J,7,FALSE),"")</f>
        <v>未定</v>
      </c>
      <c r="K136" s="30">
        <f>IF($C136&lt;&gt;"",VLOOKUP($C136,授業リスト!$A:$J,9,FALSE),"")</f>
        <v>3</v>
      </c>
      <c r="L136" s="4">
        <v>2</v>
      </c>
      <c r="M136" s="34"/>
      <c r="N136" s="34"/>
      <c r="O136" s="34" t="s">
        <v>915</v>
      </c>
      <c r="P136" s="34"/>
      <c r="Q136" s="34"/>
      <c r="R136" s="2"/>
    </row>
    <row r="137" spans="1:18" ht="75">
      <c r="A137">
        <v>3</v>
      </c>
      <c r="B137" t="s">
        <v>47</v>
      </c>
      <c r="C137" s="87"/>
      <c r="D137" t="str">
        <f>IF($C137&lt;&gt;"",VLOOKUP($C137,授業リスト!$A:$J,2,FALSE),"")</f>
        <v/>
      </c>
      <c r="E137" t="str">
        <f>IF($C137&lt;&gt;"",VLOOKUP($C137,授業リスト!$A:$J,3,FALSE),"")</f>
        <v/>
      </c>
      <c r="F137" t="str">
        <f>IF($C137&lt;&gt;"",VLOOKUP($C137,授業リスト!$A:$J,8,FALSE),"")</f>
        <v/>
      </c>
      <c r="G137" t="str">
        <f>IF($C137&lt;&gt;"",VLOOKUP($C137,授業リスト!$A:$J,4,FALSE),"")</f>
        <v/>
      </c>
      <c r="H137" t="str">
        <f>IF($C137&lt;&gt;"",VLOOKUP($C137,授業リスト!$A:$J,5,FALSE),"")</f>
        <v/>
      </c>
      <c r="I137" t="str">
        <f>IF($C137&lt;&gt;"",VLOOKUP($C137,授業リスト!$A:$J,6,FALSE),"")</f>
        <v/>
      </c>
      <c r="J137" t="str">
        <f>IF($C137&lt;&gt;"",VLOOKUP($C137,授業リスト!$A:$J,7,FALSE),"")</f>
        <v/>
      </c>
      <c r="K137" s="30" t="str">
        <f>IF($C137&lt;&gt;"",VLOOKUP($C137,授業リスト!$A:$J,9,FALSE),"")</f>
        <v/>
      </c>
      <c r="L137" s="4">
        <v>3</v>
      </c>
      <c r="M137" s="34"/>
      <c r="N137" s="34"/>
      <c r="O137" s="34" t="s">
        <v>217</v>
      </c>
      <c r="P137" s="34"/>
      <c r="Q137" s="34" t="s">
        <v>1129</v>
      </c>
      <c r="R137" s="2"/>
    </row>
    <row r="138" spans="1:18" ht="60">
      <c r="A138">
        <v>3</v>
      </c>
      <c r="B138" t="s">
        <v>47</v>
      </c>
      <c r="C138" s="87"/>
      <c r="D138" t="str">
        <f>IF($C138&lt;&gt;"",VLOOKUP($C138,授業リスト!$A:$J,2,FALSE),"")</f>
        <v/>
      </c>
      <c r="E138" t="str">
        <f>IF($C138&lt;&gt;"",VLOOKUP($C138,授業リスト!$A:$J,3,FALSE),"")</f>
        <v/>
      </c>
      <c r="F138" t="str">
        <f>IF($C138&lt;&gt;"",VLOOKUP($C138,授業リスト!$A:$J,8,FALSE),"")</f>
        <v/>
      </c>
      <c r="G138" t="str">
        <f>IF($C138&lt;&gt;"",VLOOKUP($C138,授業リスト!$A:$J,4,FALSE),"")</f>
        <v/>
      </c>
      <c r="H138" t="str">
        <f>IF($C138&lt;&gt;"",VLOOKUP($C138,授業リスト!$A:$J,5,FALSE),"")</f>
        <v/>
      </c>
      <c r="I138" t="str">
        <f>IF($C138&lt;&gt;"",VLOOKUP($C138,授業リスト!$A:$J,6,FALSE),"")</f>
        <v/>
      </c>
      <c r="J138" t="str">
        <f>IF($C138&lt;&gt;"",VLOOKUP($C138,授業リスト!$A:$J,7,FALSE),"")</f>
        <v/>
      </c>
      <c r="K138" s="30" t="str">
        <f>IF($C138&lt;&gt;"",VLOOKUP($C138,授業リスト!$A:$J,9,FALSE),"")</f>
        <v/>
      </c>
      <c r="L138" s="4">
        <v>4</v>
      </c>
      <c r="M138" s="34"/>
      <c r="N138" s="34"/>
      <c r="O138" s="34" t="s">
        <v>931</v>
      </c>
      <c r="P138" s="34" t="s">
        <v>921</v>
      </c>
      <c r="Q138" s="34"/>
      <c r="R138" s="2"/>
    </row>
    <row r="139" spans="1:18" ht="75">
      <c r="A139">
        <v>3</v>
      </c>
      <c r="B139" t="s">
        <v>47</v>
      </c>
      <c r="C139" s="87">
        <v>37489</v>
      </c>
      <c r="D139" t="str">
        <f>IF($C139&lt;&gt;"",VLOOKUP($C139,授業リスト!$A:$J,2,FALSE),"")</f>
        <v>English Through Media</v>
      </c>
      <c r="E139">
        <f>IF($C139&lt;&gt;"",VLOOKUP($C139,授業リスト!$A:$J,3,FALSE),"")</f>
        <v>0</v>
      </c>
      <c r="F139" t="str">
        <f>IF($C139&lt;&gt;"",VLOOKUP($C139,授業リスト!$A:$J,8,FALSE),"")</f>
        <v>Charles Darwin</v>
      </c>
      <c r="G139">
        <f>IF($C139&lt;&gt;"",VLOOKUP($C139,授業リスト!$A:$J,4,FALSE),"")</f>
        <v>2</v>
      </c>
      <c r="H139" t="str">
        <f>IF($C139&lt;&gt;"",VLOOKUP($C139,授業リスト!$A:$J,5,FALSE),"")</f>
        <v>後</v>
      </c>
      <c r="I139" t="str">
        <f>IF($C139&lt;&gt;"",VLOOKUP($C139,授業リスト!$A:$J,6,FALSE),"")</f>
        <v>水</v>
      </c>
      <c r="J139">
        <f>IF($C139&lt;&gt;"",VLOOKUP($C139,授業リスト!$A:$J,7,FALSE),"")</f>
        <v>3</v>
      </c>
      <c r="K139" s="30" t="str">
        <f>IF($C139&lt;&gt;"",VLOOKUP($C139,授業リスト!$A:$J,9,FALSE),"")</f>
        <v>1～4</v>
      </c>
      <c r="L139" s="4">
        <v>5</v>
      </c>
      <c r="M139" s="34"/>
      <c r="N139" s="34"/>
      <c r="O139" s="34" t="s">
        <v>922</v>
      </c>
      <c r="P139" s="34"/>
      <c r="Q139" s="34"/>
      <c r="R139" s="2"/>
    </row>
    <row r="140" spans="1:18">
      <c r="A140">
        <v>3</v>
      </c>
      <c r="B140" t="s">
        <v>47</v>
      </c>
      <c r="C140" s="87">
        <v>37477</v>
      </c>
      <c r="D140" t="str">
        <f>IF($C140&lt;&gt;"",VLOOKUP($C140,授業リスト!$A:$J,2,FALSE),"")</f>
        <v>English Education Exercises II</v>
      </c>
      <c r="E140" t="str">
        <f>IF($C140&lt;&gt;"",VLOOKUP($C140,授業リスト!$A:$J,3,FALSE),"")</f>
        <v/>
      </c>
      <c r="F140" t="str">
        <f>IF($C140&lt;&gt;"",VLOOKUP($C140,授業リスト!$A:$J,8,FALSE),"")</f>
        <v>Jane Austen</v>
      </c>
      <c r="G140">
        <f>IF($C140&lt;&gt;"",VLOOKUP($C140,授業リスト!$A:$J,4,FALSE),"")</f>
        <v>2</v>
      </c>
      <c r="H140" t="str">
        <f>IF($C140&lt;&gt;"",VLOOKUP($C140,授業リスト!$A:$J,5,FALSE),"")</f>
        <v>後</v>
      </c>
      <c r="I140" t="str">
        <f>IF($C140&lt;&gt;"",VLOOKUP($C140,授業リスト!$A:$J,6,FALSE),"")</f>
        <v>水</v>
      </c>
      <c r="J140">
        <f>IF($C140&lt;&gt;"",VLOOKUP($C140,授業リスト!$A:$J,7,FALSE),"")</f>
        <v>4</v>
      </c>
      <c r="K140" s="30" t="str">
        <f>IF($C140&lt;&gt;"",VLOOKUP($C140,授業リスト!$A:$J,9,FALSE),"")</f>
        <v>2～4</v>
      </c>
      <c r="L140" s="4">
        <v>6</v>
      </c>
      <c r="M140" s="34"/>
      <c r="N140" s="34"/>
      <c r="O140" s="34"/>
      <c r="P140" s="34"/>
      <c r="Q140" s="34"/>
      <c r="R140" s="2"/>
    </row>
    <row r="141" spans="1:18">
      <c r="A141">
        <v>3</v>
      </c>
      <c r="B141" t="s">
        <v>47</v>
      </c>
      <c r="C141" s="87"/>
      <c r="D141" t="str">
        <f>IF($C141&lt;&gt;"",VLOOKUP($C141,授業リスト!$A:$J,2,FALSE),"")</f>
        <v/>
      </c>
      <c r="E141" t="str">
        <f>IF($C141&lt;&gt;"",VLOOKUP($C141,授業リスト!$A:$J,3,FALSE),"")</f>
        <v/>
      </c>
      <c r="F141" t="str">
        <f>IF($C141&lt;&gt;"",VLOOKUP($C141,授業リスト!$A:$J,8,FALSE),"")</f>
        <v/>
      </c>
      <c r="G141" t="str">
        <f>IF($C141&lt;&gt;"",VLOOKUP($C141,授業リスト!$A:$J,4,FALSE),"")</f>
        <v/>
      </c>
      <c r="H141" t="str">
        <f>IF($C141&lt;&gt;"",VLOOKUP($C141,授業リスト!$A:$J,5,FALSE),"")</f>
        <v/>
      </c>
      <c r="I141" t="str">
        <f>IF($C141&lt;&gt;"",VLOOKUP($C141,授業リスト!$A:$J,6,FALSE),"")</f>
        <v/>
      </c>
      <c r="J141" t="str">
        <f>IF($C141&lt;&gt;"",VLOOKUP($C141,授業リスト!$A:$J,7,FALSE),"")</f>
        <v/>
      </c>
      <c r="K141" s="30" t="str">
        <f>IF($C141&lt;&gt;"",VLOOKUP($C141,授業リスト!$A:$J,9,FALSE),"")</f>
        <v/>
      </c>
      <c r="L141" s="4" t="s">
        <v>1160</v>
      </c>
      <c r="M141" s="102" t="s">
        <v>1152</v>
      </c>
      <c r="N141" s="103"/>
      <c r="O141" s="103"/>
      <c r="P141" s="103"/>
      <c r="Q141" s="104"/>
      <c r="R141" s="2"/>
    </row>
    <row r="142" spans="1:18">
      <c r="A142">
        <v>3</v>
      </c>
      <c r="B142" t="s">
        <v>47</v>
      </c>
      <c r="C142" s="87">
        <v>37474</v>
      </c>
      <c r="D142" t="str">
        <f>IF($C142&lt;&gt;"",VLOOKUP($C142,授業リスト!$A:$J,2,FALSE),"")</f>
        <v>Special Lectures in English Literature II</v>
      </c>
      <c r="E142" t="str">
        <f>IF($C142&lt;&gt;"",VLOOKUP($C142,授業リスト!$A:$J,3,FALSE),"")</f>
        <v/>
      </c>
      <c r="F142" t="str">
        <f>IF($C142&lt;&gt;"",VLOOKUP($C142,授業リスト!$A:$J,8,FALSE),"")</f>
        <v>Marie Curie</v>
      </c>
      <c r="G142">
        <f>IF($C142&lt;&gt;"",VLOOKUP($C142,授業リスト!$A:$J,4,FALSE),"")</f>
        <v>2</v>
      </c>
      <c r="H142" t="str">
        <f>IF($C142&lt;&gt;"",VLOOKUP($C142,授業リスト!$A:$J,5,FALSE),"")</f>
        <v>前</v>
      </c>
      <c r="I142" t="str">
        <f>IF($C142&lt;&gt;"",VLOOKUP($C142,授業リスト!$A:$J,6,FALSE),"")</f>
        <v>集中</v>
      </c>
      <c r="J142">
        <f>IF($C142&lt;&gt;"",VLOOKUP($C142,授業リスト!$A:$J,7,FALSE),"")</f>
        <v>0</v>
      </c>
      <c r="K142" s="30" t="str">
        <f>IF($C142&lt;&gt;"",VLOOKUP($C142,授業リスト!$A:$J,9,FALSE),"")</f>
        <v>2～4</v>
      </c>
      <c r="L142" s="15"/>
      <c r="M142" s="15"/>
      <c r="N142" s="15"/>
      <c r="O142" s="15"/>
      <c r="P142" s="15"/>
      <c r="Q142" s="15"/>
      <c r="R142" s="2"/>
    </row>
    <row r="143" spans="1:18">
      <c r="A143">
        <v>3</v>
      </c>
      <c r="B143" t="s">
        <v>47</v>
      </c>
      <c r="C143" s="87"/>
      <c r="D143" t="str">
        <f>IF($C143&lt;&gt;"",VLOOKUP($C143,授業リスト!$A:$J,2,FALSE),"")</f>
        <v/>
      </c>
      <c r="E143" t="str">
        <f>IF($C143&lt;&gt;"",VLOOKUP($C143,授業リスト!$A:$J,3,FALSE),"")</f>
        <v/>
      </c>
      <c r="F143" t="str">
        <f>IF($C143&lt;&gt;"",VLOOKUP($C143,授業リスト!$A:$J,8,FALSE),"")</f>
        <v/>
      </c>
      <c r="G143" t="str">
        <f>IF($C143&lt;&gt;"",VLOOKUP($C143,授業リスト!$A:$J,4,FALSE),"")</f>
        <v/>
      </c>
      <c r="H143" t="str">
        <f>IF($C143&lt;&gt;"",VLOOKUP($C143,授業リスト!$A:$J,5,FALSE),"")</f>
        <v/>
      </c>
      <c r="I143" t="str">
        <f>IF($C143&lt;&gt;"",VLOOKUP($C143,授業リスト!$A:$J,6,FALSE),"")</f>
        <v/>
      </c>
      <c r="J143" t="str">
        <f>IF($C143&lt;&gt;"",VLOOKUP($C143,授業リスト!$A:$J,7,FALSE),"")</f>
        <v/>
      </c>
      <c r="K143" s="30" t="str">
        <f>IF($C143&lt;&gt;"",VLOOKUP($C143,授業リスト!$A:$J,9,FALSE),"")</f>
        <v/>
      </c>
      <c r="L143" s="15"/>
      <c r="M143" s="15"/>
      <c r="N143" s="15"/>
      <c r="O143" s="15"/>
      <c r="P143" s="15"/>
      <c r="Q143" s="15"/>
      <c r="R143" s="2"/>
    </row>
    <row r="144" spans="1:18">
      <c r="A144">
        <v>3</v>
      </c>
      <c r="B144" t="s">
        <v>47</v>
      </c>
      <c r="C144" s="87"/>
      <c r="D144" t="str">
        <f>IF($C144&lt;&gt;"",VLOOKUP($C144,授業リスト!$A:$J,2,FALSE),"")</f>
        <v/>
      </c>
      <c r="E144" t="str">
        <f>IF($C144&lt;&gt;"",VLOOKUP($C144,授業リスト!$A:$J,3,FALSE),"")</f>
        <v/>
      </c>
      <c r="F144" t="str">
        <f>IF($C144&lt;&gt;"",VLOOKUP($C144,授業リスト!$A:$J,8,FALSE),"")</f>
        <v/>
      </c>
      <c r="G144" t="str">
        <f>IF($C144&lt;&gt;"",VLOOKUP($C144,授業リスト!$A:$J,4,FALSE),"")</f>
        <v/>
      </c>
      <c r="H144" t="str">
        <f>IF($C144&lt;&gt;"",VLOOKUP($C144,授業リスト!$A:$J,5,FALSE),"")</f>
        <v/>
      </c>
      <c r="I144" t="str">
        <f>IF($C144&lt;&gt;"",VLOOKUP($C144,授業リスト!$A:$J,6,FALSE),"")</f>
        <v/>
      </c>
      <c r="J144" t="str">
        <f>IF($C144&lt;&gt;"",VLOOKUP($C144,授業リスト!$A:$J,7,FALSE),"")</f>
        <v/>
      </c>
      <c r="K144" s="30" t="str">
        <f>IF($C144&lt;&gt;"",VLOOKUP($C144,授業リスト!$A:$J,9,FALSE),"")</f>
        <v/>
      </c>
      <c r="L144" s="15"/>
      <c r="M144" s="15"/>
      <c r="N144" s="15"/>
      <c r="O144" s="15"/>
      <c r="P144" s="15"/>
      <c r="Q144" s="15"/>
      <c r="R144" s="2"/>
    </row>
    <row r="145" spans="1:18">
      <c r="A145">
        <v>3</v>
      </c>
      <c r="B145" t="s">
        <v>47</v>
      </c>
      <c r="C145" s="87"/>
      <c r="D145" t="str">
        <f>IF($C145&lt;&gt;"",VLOOKUP($C145,授業リスト!$A:$J,2,FALSE),"")</f>
        <v/>
      </c>
      <c r="E145" t="str">
        <f>IF($C145&lt;&gt;"",VLOOKUP($C145,授業リスト!$A:$J,3,FALSE),"")</f>
        <v/>
      </c>
      <c r="F145" t="str">
        <f>IF($C145&lt;&gt;"",VLOOKUP($C145,授業リスト!$A:$J,8,FALSE),"")</f>
        <v/>
      </c>
      <c r="G145" t="str">
        <f>IF($C145&lt;&gt;"",VLOOKUP($C145,授業リスト!$A:$J,4,FALSE),"")</f>
        <v/>
      </c>
      <c r="H145" t="str">
        <f>IF($C145&lt;&gt;"",VLOOKUP($C145,授業リスト!$A:$J,5,FALSE),"")</f>
        <v/>
      </c>
      <c r="I145" t="str">
        <f>IF($C145&lt;&gt;"",VLOOKUP($C145,授業リスト!$A:$J,6,FALSE),"")</f>
        <v/>
      </c>
      <c r="J145" t="str">
        <f>IF($C145&lt;&gt;"",VLOOKUP($C145,授業リスト!$A:$J,7,FALSE),"")</f>
        <v/>
      </c>
      <c r="K145" s="30" t="str">
        <f>IF($C145&lt;&gt;"",VLOOKUP($C145,授業リスト!$A:$J,9,FALSE),"")</f>
        <v/>
      </c>
      <c r="L145" s="15"/>
      <c r="M145" s="15"/>
      <c r="N145" s="15"/>
      <c r="O145" s="15"/>
      <c r="P145" s="15"/>
      <c r="Q145" s="15"/>
      <c r="R145" s="2"/>
    </row>
    <row r="146" spans="1:18">
      <c r="A146">
        <v>3</v>
      </c>
      <c r="B146" t="s">
        <v>47</v>
      </c>
      <c r="C146" s="87"/>
      <c r="D146" t="str">
        <f>IF($C146&lt;&gt;"",VLOOKUP($C146,授業リスト!$A:$J,2,FALSE),"")</f>
        <v/>
      </c>
      <c r="E146" t="str">
        <f>IF($C146&lt;&gt;"",VLOOKUP($C146,授業リスト!$A:$J,3,FALSE),"")</f>
        <v/>
      </c>
      <c r="F146" t="str">
        <f>IF($C146&lt;&gt;"",VLOOKUP($C146,授業リスト!$A:$J,8,FALSE),"")</f>
        <v/>
      </c>
      <c r="G146" t="str">
        <f>IF($C146&lt;&gt;"",VLOOKUP($C146,授業リスト!$A:$J,4,FALSE),"")</f>
        <v/>
      </c>
      <c r="H146" t="str">
        <f>IF($C146&lt;&gt;"",VLOOKUP($C146,授業リスト!$A:$J,5,FALSE),"")</f>
        <v/>
      </c>
      <c r="I146" t="str">
        <f>IF($C146&lt;&gt;"",VLOOKUP($C146,授業リスト!$A:$J,6,FALSE),"")</f>
        <v/>
      </c>
      <c r="J146" t="str">
        <f>IF($C146&lt;&gt;"",VLOOKUP($C146,授業リスト!$A:$J,7,FALSE),"")</f>
        <v/>
      </c>
      <c r="K146" s="30" t="str">
        <f>IF($C146&lt;&gt;"",VLOOKUP($C146,授業リスト!$A:$J,9,FALSE),"")</f>
        <v/>
      </c>
      <c r="L146" s="15"/>
      <c r="M146" s="15"/>
      <c r="N146" s="15"/>
      <c r="O146" s="15"/>
      <c r="P146" s="15"/>
      <c r="Q146" s="15"/>
      <c r="R146" s="2"/>
    </row>
    <row r="147" spans="1:18">
      <c r="A147">
        <v>3</v>
      </c>
      <c r="B147" t="s">
        <v>47</v>
      </c>
      <c r="C147" s="87"/>
      <c r="D147" t="str">
        <f>IF($C147&lt;&gt;"",VLOOKUP($C147,授業リスト!$A:$J,2,FALSE),"")</f>
        <v/>
      </c>
      <c r="E147" t="str">
        <f>IF($C147&lt;&gt;"",VLOOKUP($C147,授業リスト!$A:$J,3,FALSE),"")</f>
        <v/>
      </c>
      <c r="F147" t="str">
        <f>IF($C147&lt;&gt;"",VLOOKUP($C147,授業リスト!$A:$J,8,FALSE),"")</f>
        <v/>
      </c>
      <c r="G147" t="str">
        <f>IF($C147&lt;&gt;"",VLOOKUP($C147,授業リスト!$A:$J,4,FALSE),"")</f>
        <v/>
      </c>
      <c r="H147" t="str">
        <f>IF($C147&lt;&gt;"",VLOOKUP($C147,授業リスト!$A:$J,5,FALSE),"")</f>
        <v/>
      </c>
      <c r="I147" t="str">
        <f>IF($C147&lt;&gt;"",VLOOKUP($C147,授業リスト!$A:$J,6,FALSE),"")</f>
        <v/>
      </c>
      <c r="J147" t="str">
        <f>IF($C147&lt;&gt;"",VLOOKUP($C147,授業リスト!$A:$J,7,FALSE),"")</f>
        <v/>
      </c>
      <c r="K147" s="30" t="str">
        <f>IF($C147&lt;&gt;"",VLOOKUP($C147,授業リスト!$A:$J,9,FALSE),"")</f>
        <v/>
      </c>
      <c r="L147" s="15"/>
      <c r="M147" s="15"/>
      <c r="N147" s="15"/>
      <c r="O147" s="15"/>
      <c r="P147" s="15"/>
      <c r="Q147" s="15"/>
    </row>
    <row r="148" spans="1:18">
      <c r="A148">
        <v>3</v>
      </c>
      <c r="B148" t="s">
        <v>47</v>
      </c>
      <c r="C148" s="87"/>
      <c r="D148" t="str">
        <f>IF($C148&lt;&gt;"",VLOOKUP($C148,授業リスト!$A:$J,2,FALSE),"")</f>
        <v/>
      </c>
      <c r="E148" t="str">
        <f>IF($C148&lt;&gt;"",VLOOKUP($C148,授業リスト!$A:$J,3,FALSE),"")</f>
        <v/>
      </c>
      <c r="F148" t="str">
        <f>IF($C148&lt;&gt;"",VLOOKUP($C148,授業リスト!$A:$J,8,FALSE),"")</f>
        <v/>
      </c>
      <c r="G148" t="str">
        <f>IF($C148&lt;&gt;"",VLOOKUP($C148,授業リスト!$A:$J,4,FALSE),"")</f>
        <v/>
      </c>
      <c r="H148" t="str">
        <f>IF($C148&lt;&gt;"",VLOOKUP($C148,授業リスト!$A:$J,5,FALSE),"")</f>
        <v/>
      </c>
      <c r="I148" t="str">
        <f>IF($C148&lt;&gt;"",VLOOKUP($C148,授業リスト!$A:$J,6,FALSE),"")</f>
        <v/>
      </c>
      <c r="J148" t="str">
        <f>IF($C148&lt;&gt;"",VLOOKUP($C148,授業リスト!$A:$J,7,FALSE),"")</f>
        <v/>
      </c>
      <c r="K148" s="30" t="str">
        <f>IF($C148&lt;&gt;"",VLOOKUP($C148,授業リスト!$A:$J,9,FALSE),"")</f>
        <v/>
      </c>
      <c r="L148" s="15"/>
      <c r="M148" s="15"/>
      <c r="N148" s="15"/>
      <c r="O148" s="15"/>
      <c r="P148" s="15"/>
      <c r="Q148" s="15"/>
    </row>
    <row r="149" spans="1:18">
      <c r="A149">
        <v>3</v>
      </c>
      <c r="B149" t="s">
        <v>47</v>
      </c>
      <c r="C149" s="87"/>
      <c r="D149" t="str">
        <f>IF($C149&lt;&gt;"",VLOOKUP($C149,授業リスト!$A:$J,2,FALSE),"")</f>
        <v/>
      </c>
      <c r="E149" t="str">
        <f>IF($C149&lt;&gt;"",VLOOKUP($C149,授業リスト!$A:$J,3,FALSE),"")</f>
        <v/>
      </c>
      <c r="F149" t="str">
        <f>IF($C149&lt;&gt;"",VLOOKUP($C149,授業リスト!$A:$J,8,FALSE),"")</f>
        <v/>
      </c>
      <c r="G149" t="str">
        <f>IF($C149&lt;&gt;"",VLOOKUP($C149,授業リスト!$A:$J,4,FALSE),"")</f>
        <v/>
      </c>
      <c r="H149" t="str">
        <f>IF($C149&lt;&gt;"",VLOOKUP($C149,授業リスト!$A:$J,5,FALSE),"")</f>
        <v/>
      </c>
      <c r="I149" t="str">
        <f>IF($C149&lt;&gt;"",VLOOKUP($C149,授業リスト!$A:$J,6,FALSE),"")</f>
        <v/>
      </c>
      <c r="J149" t="str">
        <f>IF($C149&lt;&gt;"",VLOOKUP($C149,授業リスト!$A:$J,7,FALSE),"")</f>
        <v/>
      </c>
      <c r="K149" s="30" t="str">
        <f>IF($C149&lt;&gt;"",VLOOKUP($C149,授業リスト!$A:$J,9,FALSE),"")</f>
        <v/>
      </c>
      <c r="L149" s="15"/>
      <c r="M149" s="15"/>
      <c r="N149" s="15"/>
      <c r="O149" s="15"/>
      <c r="P149" s="15"/>
      <c r="Q149" s="15"/>
    </row>
    <row r="150" spans="1:18">
      <c r="A150">
        <v>3</v>
      </c>
      <c r="B150" t="s">
        <v>47</v>
      </c>
      <c r="C150" s="87"/>
      <c r="D150" t="str">
        <f>IF($C150&lt;&gt;"",VLOOKUP($C150,授業リスト!$A:$J,2,FALSE),"")</f>
        <v/>
      </c>
      <c r="E150" t="str">
        <f>IF($C150&lt;&gt;"",VLOOKUP($C150,授業リスト!$A:$J,3,FALSE),"")</f>
        <v/>
      </c>
      <c r="F150" t="str">
        <f>IF($C150&lt;&gt;"",VLOOKUP($C150,授業リスト!$A:$J,8,FALSE),"")</f>
        <v/>
      </c>
      <c r="G150" t="str">
        <f>IF($C150&lt;&gt;"",VLOOKUP($C150,授業リスト!$A:$J,4,FALSE),"")</f>
        <v/>
      </c>
      <c r="H150" t="str">
        <f>IF($C150&lt;&gt;"",VLOOKUP($C150,授業リスト!$A:$J,5,FALSE),"")</f>
        <v/>
      </c>
      <c r="I150" t="str">
        <f>IF($C150&lt;&gt;"",VLOOKUP($C150,授業リスト!$A:$J,6,FALSE),"")</f>
        <v/>
      </c>
      <c r="J150" t="str">
        <f>IF($C150&lt;&gt;"",VLOOKUP($C150,授業リスト!$A:$J,7,FALSE),"")</f>
        <v/>
      </c>
      <c r="K150" s="30" t="str">
        <f>IF($C150&lt;&gt;"",VLOOKUP($C150,授業リスト!$A:$J,9,FALSE),"")</f>
        <v/>
      </c>
      <c r="L150" s="15"/>
      <c r="M150" s="15"/>
      <c r="N150" s="15"/>
      <c r="O150" s="15"/>
      <c r="P150" s="15"/>
      <c r="Q150" s="15"/>
    </row>
    <row r="151" spans="1:18" ht="21">
      <c r="A151">
        <v>3</v>
      </c>
      <c r="B151" t="s">
        <v>47</v>
      </c>
      <c r="C151" s="87"/>
      <c r="D151" t="str">
        <f>IF($C151&lt;&gt;"",VLOOKUP($C151,授業リスト!$A:$J,2,FALSE),"")</f>
        <v/>
      </c>
      <c r="E151" t="str">
        <f>IF($C151&lt;&gt;"",VLOOKUP($C151,授業リスト!$A:$J,3,FALSE),"")</f>
        <v/>
      </c>
      <c r="F151" t="str">
        <f>IF($C151&lt;&gt;"",VLOOKUP($C151,授業リスト!$A:$J,8,FALSE),"")</f>
        <v/>
      </c>
      <c r="G151" t="str">
        <f>IF($C151&lt;&gt;"",VLOOKUP($C151,授業リスト!$A:$J,4,FALSE),"")</f>
        <v/>
      </c>
      <c r="H151" t="str">
        <f>IF($C151&lt;&gt;"",VLOOKUP($C151,授業リスト!$A:$J,5,FALSE),"")</f>
        <v/>
      </c>
      <c r="I151" t="str">
        <f>IF($C151&lt;&gt;"",VLOOKUP($C151,授業リスト!$A:$J,6,FALSE),"")</f>
        <v/>
      </c>
      <c r="J151" t="str">
        <f>IF($C151&lt;&gt;"",VLOOKUP($C151,授業リスト!$A:$J,7,FALSE),"")</f>
        <v/>
      </c>
      <c r="K151" s="30" t="str">
        <f>IF($C151&lt;&gt;"",VLOOKUP($C151,授業リスト!$A:$J,9,FALSE),"")</f>
        <v/>
      </c>
      <c r="L151" s="15"/>
      <c r="M151" s="24" t="s">
        <v>1113</v>
      </c>
    </row>
    <row r="152" spans="1:18" ht="18" thickBot="1">
      <c r="A152">
        <v>3</v>
      </c>
      <c r="B152" t="s">
        <v>47</v>
      </c>
      <c r="C152" s="87"/>
      <c r="D152" t="str">
        <f>IF($C152&lt;&gt;"",VLOOKUP($C152,授業リスト!$A:$J,2,FALSE),"")</f>
        <v/>
      </c>
      <c r="E152" t="str">
        <f>IF($C152&lt;&gt;"",VLOOKUP($C152,授業リスト!$A:$J,3,FALSE),"")</f>
        <v/>
      </c>
      <c r="F152" t="str">
        <f>IF($C152&lt;&gt;"",VLOOKUP($C152,授業リスト!$A:$J,8,FALSE),"")</f>
        <v/>
      </c>
      <c r="G152" t="str">
        <f>IF($C152&lt;&gt;"",VLOOKUP($C152,授業リスト!$A:$J,4,FALSE),"")</f>
        <v/>
      </c>
      <c r="H152" t="str">
        <f>IF($C152&lt;&gt;"",VLOOKUP($C152,授業リスト!$A:$J,5,FALSE),"")</f>
        <v/>
      </c>
      <c r="I152" t="str">
        <f>IF($C152&lt;&gt;"",VLOOKUP($C152,授業リスト!$A:$J,6,FALSE),"")</f>
        <v/>
      </c>
      <c r="J152" t="str">
        <f>IF($C152&lt;&gt;"",VLOOKUP($C152,授業リスト!$A:$J,7,FALSE),"")</f>
        <v/>
      </c>
      <c r="K152" s="30" t="str">
        <f>IF($C152&lt;&gt;"",VLOOKUP($C152,授業リスト!$A:$J,9,FALSE),"")</f>
        <v/>
      </c>
      <c r="L152" s="15"/>
    </row>
    <row r="153" spans="1:18" ht="18" thickBot="1">
      <c r="A153">
        <v>3</v>
      </c>
      <c r="B153" t="s">
        <v>47</v>
      </c>
      <c r="C153" s="87">
        <v>38063</v>
      </c>
      <c r="D153" t="str">
        <f>IF($C153&lt;&gt;"",VLOOKUP($C153,授業リスト!$A:$J,2,FALSE),"")</f>
        <v>Academic Writing II</v>
      </c>
      <c r="E153" t="str">
        <f>IF($C153&lt;&gt;"",VLOOKUP($C153,授業リスト!$A:$J,3,FALSE),"")</f>
        <v/>
      </c>
      <c r="F153" t="str">
        <f>IF($C153&lt;&gt;"",VLOOKUP($C153,授業リスト!$A:$J,8,FALSE),"")</f>
        <v>Johann Wolfgang von Goethe</v>
      </c>
      <c r="G153">
        <f>IF($C153&lt;&gt;"",VLOOKUP($C153,授業リスト!$A:$J,4,FALSE),"")</f>
        <v>2</v>
      </c>
      <c r="H153" t="str">
        <f>IF($C153&lt;&gt;"",VLOOKUP($C153,授業リスト!$A:$J,5,FALSE),"")</f>
        <v>後</v>
      </c>
      <c r="I153" t="str">
        <f>IF($C153&lt;&gt;"",VLOOKUP($C153,授業リスト!$A:$J,6,FALSE),"")</f>
        <v>水</v>
      </c>
      <c r="J153">
        <f>IF($C153&lt;&gt;"",VLOOKUP($C153,授業リスト!$A:$J,7,FALSE),"")</f>
        <v>2</v>
      </c>
      <c r="K153" s="30">
        <f>IF($C153&lt;&gt;"",VLOOKUP($C153,授業リスト!$A:$J,9,FALSE),"")</f>
        <v>4</v>
      </c>
      <c r="L153" s="15"/>
      <c r="M153" s="25"/>
      <c r="N153" s="26"/>
    </row>
    <row r="154" spans="1:18">
      <c r="A154">
        <v>3</v>
      </c>
      <c r="B154" t="s">
        <v>47</v>
      </c>
      <c r="C154" s="87"/>
      <c r="D154" t="str">
        <f>IF($C154&lt;&gt;"",VLOOKUP($C154,授業リスト!$A:$J,2,FALSE),"")</f>
        <v/>
      </c>
      <c r="E154" t="str">
        <f>IF($C154&lt;&gt;"",VLOOKUP($C154,授業リスト!$A:$J,3,FALSE),"")</f>
        <v/>
      </c>
      <c r="F154" t="str">
        <f>IF($C154&lt;&gt;"",VLOOKUP($C154,授業リスト!$A:$J,8,FALSE),"")</f>
        <v/>
      </c>
      <c r="G154" t="str">
        <f>IF($C154&lt;&gt;"",VLOOKUP($C154,授業リスト!$A:$J,4,FALSE),"")</f>
        <v/>
      </c>
      <c r="H154" t="str">
        <f>IF($C154&lt;&gt;"",VLOOKUP($C154,授業リスト!$A:$J,5,FALSE),"")</f>
        <v/>
      </c>
      <c r="I154" t="str">
        <f>IF($C154&lt;&gt;"",VLOOKUP($C154,授業リスト!$A:$J,6,FALSE),"")</f>
        <v/>
      </c>
      <c r="J154" t="str">
        <f>IF($C154&lt;&gt;"",VLOOKUP($C154,授業リスト!$A:$J,7,FALSE),"")</f>
        <v/>
      </c>
      <c r="K154" s="30" t="str">
        <f>IF($C154&lt;&gt;"",VLOOKUP($C154,授業リスト!$A:$J,9,FALSE),"")</f>
        <v/>
      </c>
      <c r="L154" s="15"/>
    </row>
    <row r="155" spans="1:18">
      <c r="A155">
        <v>3</v>
      </c>
      <c r="B155" t="s">
        <v>47</v>
      </c>
      <c r="C155" s="87"/>
      <c r="D155" t="str">
        <f>IF($C155&lt;&gt;"",VLOOKUP($C155,授業リスト!$A:$J,2,FALSE),"")</f>
        <v/>
      </c>
      <c r="E155" t="str">
        <f>IF($C155&lt;&gt;"",VLOOKUP($C155,授業リスト!$A:$J,3,FALSE),"")</f>
        <v/>
      </c>
      <c r="F155" t="str">
        <f>IF($C155&lt;&gt;"",VLOOKUP($C155,授業リスト!$A:$J,8,FALSE),"")</f>
        <v/>
      </c>
      <c r="G155" t="str">
        <f>IF($C155&lt;&gt;"",VLOOKUP($C155,授業リスト!$A:$J,4,FALSE),"")</f>
        <v/>
      </c>
      <c r="H155" t="str">
        <f>IF($C155&lt;&gt;"",VLOOKUP($C155,授業リスト!$A:$J,5,FALSE),"")</f>
        <v/>
      </c>
      <c r="I155" t="str">
        <f>IF($C155&lt;&gt;"",VLOOKUP($C155,授業リスト!$A:$J,6,FALSE),"")</f>
        <v/>
      </c>
      <c r="J155" t="str">
        <f>IF($C155&lt;&gt;"",VLOOKUP($C155,授業リスト!$A:$J,7,FALSE),"")</f>
        <v/>
      </c>
      <c r="K155" s="30" t="str">
        <f>IF($C155&lt;&gt;"",VLOOKUP($C155,授業リスト!$A:$J,9,FALSE),"")</f>
        <v/>
      </c>
      <c r="L155" s="15"/>
    </row>
    <row r="156" spans="1:18">
      <c r="A156">
        <v>3</v>
      </c>
      <c r="B156" t="s">
        <v>47</v>
      </c>
      <c r="C156" s="87">
        <v>37467</v>
      </c>
      <c r="D156" t="str">
        <f>IF($C156&lt;&gt;"",VLOOKUP($C156,授業リスト!$A:$J,2,FALSE),"")</f>
        <v>Special Lectures in English Linguistics I</v>
      </c>
      <c r="E156" t="str">
        <f>IF($C156&lt;&gt;"",VLOOKUP($C156,授業リスト!$A:$J,3,FALSE),"")</f>
        <v/>
      </c>
      <c r="F156" t="str">
        <f>IF($C156&lt;&gt;"",VLOOKUP($C156,授業リスト!$A:$J,8,FALSE),"")</f>
        <v>Guglielmo Marconi</v>
      </c>
      <c r="G156">
        <f>IF($C156&lt;&gt;"",VLOOKUP($C156,授業リスト!$A:$J,4,FALSE),"")</f>
        <v>2</v>
      </c>
      <c r="H156" t="str">
        <f>IF($C156&lt;&gt;"",VLOOKUP($C156,授業リスト!$A:$J,5,FALSE),"")</f>
        <v>後</v>
      </c>
      <c r="I156" t="str">
        <f>IF($C156&lt;&gt;"",VLOOKUP($C156,授業リスト!$A:$J,6,FALSE),"")</f>
        <v>木</v>
      </c>
      <c r="J156">
        <f>IF($C156&lt;&gt;"",VLOOKUP($C156,授業リスト!$A:$J,7,FALSE),"")</f>
        <v>4</v>
      </c>
      <c r="K156" s="30">
        <f>IF($C156&lt;&gt;"",VLOOKUP($C156,授業リスト!$A:$J,9,FALSE),"")</f>
        <v>1</v>
      </c>
      <c r="L156" s="15"/>
    </row>
    <row r="157" spans="1:18">
      <c r="A157">
        <v>3</v>
      </c>
      <c r="B157" t="s">
        <v>47</v>
      </c>
      <c r="C157" s="87">
        <v>37468</v>
      </c>
      <c r="D157" t="str">
        <f>IF($C157&lt;&gt;"",VLOOKUP($C157,授業リスト!$A:$J,2,FALSE),"")</f>
        <v>Special Lectures in English Linguistics II</v>
      </c>
      <c r="E157" t="str">
        <f>IF($C157&lt;&gt;"",VLOOKUP($C157,授業リスト!$A:$J,3,FALSE),"")</f>
        <v/>
      </c>
      <c r="F157" t="str">
        <f>IF($C157&lt;&gt;"",VLOOKUP($C157,授業リスト!$A:$J,8,FALSE),"")</f>
        <v>John Locke</v>
      </c>
      <c r="G157">
        <f>IF($C157&lt;&gt;"",VLOOKUP($C157,授業リスト!$A:$J,4,FALSE),"")</f>
        <v>2</v>
      </c>
      <c r="H157" t="str">
        <f>IF($C157&lt;&gt;"",VLOOKUP($C157,授業リスト!$A:$J,5,FALSE),"")</f>
        <v>後</v>
      </c>
      <c r="I157" t="str">
        <f>IF($C157&lt;&gt;"",VLOOKUP($C157,授業リスト!$A:$J,6,FALSE),"")</f>
        <v>水</v>
      </c>
      <c r="J157">
        <f>IF($C157&lt;&gt;"",VLOOKUP($C157,授業リスト!$A:$J,7,FALSE),"")</f>
        <v>5</v>
      </c>
      <c r="K157" s="30" t="str">
        <f>IF($C157&lt;&gt;"",VLOOKUP($C157,授業リスト!$A:$J,9,FALSE),"")</f>
        <v>2～4</v>
      </c>
      <c r="L157" s="15"/>
      <c r="M157" s="15"/>
      <c r="N157" s="15"/>
      <c r="O157" s="15"/>
      <c r="P157" s="15"/>
      <c r="Q157" s="15"/>
    </row>
    <row r="158" spans="1:18">
      <c r="A158">
        <v>3</v>
      </c>
      <c r="B158" t="s">
        <v>47</v>
      </c>
      <c r="C158" s="87"/>
      <c r="D158" t="str">
        <f>IF($C158&lt;&gt;"",VLOOKUP($C158,授業リスト!$A:$J,2,FALSE),"")</f>
        <v/>
      </c>
      <c r="E158" t="str">
        <f>IF($C158&lt;&gt;"",VLOOKUP($C158,授業リスト!$A:$J,3,FALSE),"")</f>
        <v/>
      </c>
      <c r="F158" t="str">
        <f>IF($C158&lt;&gt;"",VLOOKUP($C158,授業リスト!$A:$J,8,FALSE),"")</f>
        <v/>
      </c>
      <c r="G158" t="str">
        <f>IF($C158&lt;&gt;"",VLOOKUP($C158,授業リスト!$A:$J,4,FALSE),"")</f>
        <v/>
      </c>
      <c r="H158" t="str">
        <f>IF($C158&lt;&gt;"",VLOOKUP($C158,授業リスト!$A:$J,5,FALSE),"")</f>
        <v/>
      </c>
      <c r="I158" t="str">
        <f>IF($C158&lt;&gt;"",VLOOKUP($C158,授業リスト!$A:$J,6,FALSE),"")</f>
        <v/>
      </c>
      <c r="J158" t="str">
        <f>IF($C158&lt;&gt;"",VLOOKUP($C158,授業リスト!$A:$J,7,FALSE),"")</f>
        <v/>
      </c>
      <c r="K158" s="30" t="str">
        <f>IF($C158&lt;&gt;"",VLOOKUP($C158,授業リスト!$A:$J,9,FALSE),"")</f>
        <v/>
      </c>
      <c r="L158" s="15"/>
      <c r="M158" s="15"/>
      <c r="N158" s="15"/>
      <c r="O158" s="15"/>
      <c r="P158" s="15"/>
      <c r="Q158" s="15"/>
    </row>
    <row r="159" spans="1:18">
      <c r="A159" s="1">
        <v>3</v>
      </c>
      <c r="B159" s="1" t="s">
        <v>47</v>
      </c>
      <c r="C159" s="88"/>
      <c r="D159" s="1" t="str">
        <f>IF($C159&lt;&gt;"",VLOOKUP($C159,授業リスト!$A:$J,2,FALSE),"")</f>
        <v/>
      </c>
      <c r="E159" s="1" t="str">
        <f>IF($C159&lt;&gt;"",VLOOKUP($C159,授業リスト!$A:$J,3,FALSE),"")</f>
        <v/>
      </c>
      <c r="F159" s="1" t="str">
        <f>IF($C159&lt;&gt;"",VLOOKUP($C159,授業リスト!$A:$J,8,FALSE),"")</f>
        <v/>
      </c>
      <c r="G159" s="1" t="str">
        <f>IF($C159&lt;&gt;"",VLOOKUP($C159,授業リスト!$A:$J,4,FALSE),"")</f>
        <v/>
      </c>
      <c r="H159" s="1" t="str">
        <f>IF($C159&lt;&gt;"",VLOOKUP($C159,授業リスト!$A:$J,5,FALSE),"")</f>
        <v/>
      </c>
      <c r="I159" s="1" t="str">
        <f>IF($C159&lt;&gt;"",VLOOKUP($C159,授業リスト!$A:$J,6,FALSE),"")</f>
        <v/>
      </c>
      <c r="J159" s="1" t="str">
        <f>IF($C159&lt;&gt;"",VLOOKUP($C159,授業リスト!$A:$J,7,FALSE),"")</f>
        <v/>
      </c>
      <c r="K159" s="31" t="str">
        <f>IF($C159&lt;&gt;"",VLOOKUP($C159,授業リスト!$A:$J,9,FALSE),"")</f>
        <v/>
      </c>
      <c r="L159" s="15"/>
      <c r="M159" s="15"/>
      <c r="N159" s="15"/>
      <c r="O159" s="15"/>
      <c r="P159" s="15"/>
      <c r="Q159" s="15"/>
    </row>
    <row r="160" spans="1:18" ht="18">
      <c r="A160" s="37">
        <v>4</v>
      </c>
      <c r="B160" s="37" t="s">
        <v>69</v>
      </c>
      <c r="C160" s="85">
        <v>37232</v>
      </c>
      <c r="D160" s="37" t="str">
        <f>IF($C160&lt;&gt;"",VLOOKUP($C160,授業リスト!$A:$J,2,FALSE),"")</f>
        <v>Teaching Methods for Secondary English IV</v>
      </c>
      <c r="E160" s="37">
        <f>IF($C160&lt;&gt;"",VLOOKUP($C160,授業リスト!$A:$J,3,FALSE),"")</f>
        <v>0</v>
      </c>
      <c r="F160" s="37" t="str">
        <f>IF($C160&lt;&gt;"",VLOOKUP($C160,授業リスト!$A:$J,8,FALSE),"")</f>
        <v>George Washington</v>
      </c>
      <c r="G160" s="37">
        <f>IF($C160&lt;&gt;"",VLOOKUP($C160,授業リスト!$A:$J,4,FALSE),"")</f>
        <v>2</v>
      </c>
      <c r="H160" s="37" t="str">
        <f>IF($C160&lt;&gt;"",VLOOKUP($C160,授業リスト!$A:$J,5,FALSE),"")</f>
        <v>前</v>
      </c>
      <c r="I160" s="37" t="str">
        <f>IF($C160&lt;&gt;"",VLOOKUP($C160,授業リスト!$A:$J,6,FALSE),"")</f>
        <v>金</v>
      </c>
      <c r="J160" s="37">
        <f>IF($C160&lt;&gt;"",VLOOKUP($C160,授業リスト!$A:$J,7,FALSE),"")</f>
        <v>1</v>
      </c>
      <c r="K160" s="38">
        <f>IF($C160&lt;&gt;"",VLOOKUP($C160,授業リスト!$A:$J,9,FALSE),"")</f>
        <v>4</v>
      </c>
      <c r="L160" s="2"/>
      <c r="M160" s="3" t="s">
        <v>1156</v>
      </c>
      <c r="N160" s="95" t="s">
        <v>1155</v>
      </c>
      <c r="O160" s="3" t="s">
        <v>1157</v>
      </c>
      <c r="P160" s="3" t="s">
        <v>1158</v>
      </c>
      <c r="Q160" s="3" t="s">
        <v>1159</v>
      </c>
      <c r="R160" s="2"/>
    </row>
    <row r="161" spans="1:18" ht="75">
      <c r="A161" s="37">
        <v>4</v>
      </c>
      <c r="B161" s="37" t="s">
        <v>69</v>
      </c>
      <c r="C161" s="85">
        <v>38108</v>
      </c>
      <c r="D161" s="37" t="str">
        <f>IF($C161&lt;&gt;"",VLOOKUP($C161,授業リスト!$A:$J,2,FALSE),"")</f>
        <v>Care and Experiential Internship</v>
      </c>
      <c r="E161" s="37">
        <f>IF($C161&lt;&gt;"",VLOOKUP($C161,授業リスト!$A:$J,3,FALSE),"")</f>
        <v>0</v>
      </c>
      <c r="F161" s="37" t="str">
        <f>IF($C161&lt;&gt;"",VLOOKUP($C161,授業リスト!$A:$J,8,FALSE),"")</f>
        <v>Charles Darwin</v>
      </c>
      <c r="G161" s="37">
        <f>IF($C161&lt;&gt;"",VLOOKUP($C161,授業リスト!$A:$J,4,FALSE),"")</f>
        <v>2</v>
      </c>
      <c r="H161" s="37">
        <f>IF($C161&lt;&gt;"",VLOOKUP($C161,授業リスト!$A:$J,5,FALSE),"")</f>
        <v>0</v>
      </c>
      <c r="I161" s="37" t="str">
        <f>IF($C161&lt;&gt;"",VLOOKUP($C161,授業リスト!$A:$J,6,FALSE),"")</f>
        <v>実習</v>
      </c>
      <c r="J161" s="37">
        <f>IF($C161&lt;&gt;"",VLOOKUP($C161,授業リスト!$A:$J,7,FALSE),"")</f>
        <v>0</v>
      </c>
      <c r="K161" s="38">
        <f>IF($C161&lt;&gt;"",VLOOKUP($C161,授業リスト!$A:$J,9,FALSE),"")</f>
        <v>4</v>
      </c>
      <c r="L161" s="4">
        <v>1</v>
      </c>
      <c r="M161" s="34"/>
      <c r="N161" s="34"/>
      <c r="O161" s="34"/>
      <c r="P161" s="34"/>
      <c r="Q161" s="34" t="s">
        <v>1130</v>
      </c>
      <c r="R161" s="2"/>
    </row>
    <row r="162" spans="1:18">
      <c r="A162" s="37">
        <v>4</v>
      </c>
      <c r="B162" s="37" t="s">
        <v>69</v>
      </c>
      <c r="C162" s="85"/>
      <c r="D162" s="37" t="str">
        <f>IF($C162&lt;&gt;"",VLOOKUP($C162,授業リスト!$A:$J,2,FALSE),"")</f>
        <v/>
      </c>
      <c r="E162" s="37" t="str">
        <f>IF($C162&lt;&gt;"",VLOOKUP($C162,授業リスト!$A:$J,3,FALSE),"")</f>
        <v/>
      </c>
      <c r="F162" s="37" t="str">
        <f>IF($C162&lt;&gt;"",VLOOKUP($C162,授業リスト!$A:$J,8,FALSE),"")</f>
        <v/>
      </c>
      <c r="G162" s="37" t="str">
        <f>IF($C162&lt;&gt;"",VLOOKUP($C162,授業リスト!$A:$J,4,FALSE),"")</f>
        <v/>
      </c>
      <c r="H162" s="37" t="str">
        <f>IF($C162&lt;&gt;"",VLOOKUP($C162,授業リスト!$A:$J,5,FALSE),"")</f>
        <v/>
      </c>
      <c r="I162" s="37" t="str">
        <f>IF($C162&lt;&gt;"",VLOOKUP($C162,授業リスト!$A:$J,6,FALSE),"")</f>
        <v/>
      </c>
      <c r="J162" s="37" t="str">
        <f>IF($C162&lt;&gt;"",VLOOKUP($C162,授業リスト!$A:$J,7,FALSE),"")</f>
        <v/>
      </c>
      <c r="K162" s="38" t="str">
        <f>IF($C162&lt;&gt;"",VLOOKUP($C162,授業リスト!$A:$J,9,FALSE),"")</f>
        <v/>
      </c>
      <c r="L162" s="4">
        <v>2</v>
      </c>
      <c r="M162" s="34"/>
      <c r="N162" s="34"/>
      <c r="O162" s="34"/>
      <c r="P162" s="34"/>
      <c r="Q162" s="34"/>
      <c r="R162" s="2"/>
    </row>
    <row r="163" spans="1:18" ht="90">
      <c r="A163" s="37">
        <v>4</v>
      </c>
      <c r="B163" s="37" t="s">
        <v>69</v>
      </c>
      <c r="C163" s="85">
        <v>37463</v>
      </c>
      <c r="D163" s="37" t="str">
        <f>IF($C163&lt;&gt;"",VLOOKUP($C163,授業リスト!$A:$J,2,FALSE),"")</f>
        <v>Intercultural Understanding II</v>
      </c>
      <c r="E163" s="37" t="str">
        <f>IF($C163&lt;&gt;"",VLOOKUP($C163,授業リスト!$A:$J,3,FALSE),"")</f>
        <v/>
      </c>
      <c r="F163" s="37" t="str">
        <f>IF($C163&lt;&gt;"",VLOOKUP($C163,授業リスト!$A:$J,8,FALSE),"")</f>
        <v>Alexander the Great</v>
      </c>
      <c r="G163" s="37">
        <f>IF($C163&lt;&gt;"",VLOOKUP($C163,授業リスト!$A:$J,4,FALSE),"")</f>
        <v>2</v>
      </c>
      <c r="H163" s="37" t="str">
        <f>IF($C163&lt;&gt;"",VLOOKUP($C163,授業リスト!$A:$J,5,FALSE),"")</f>
        <v>前</v>
      </c>
      <c r="I163" s="37" t="str">
        <f>IF($C163&lt;&gt;"",VLOOKUP($C163,授業リスト!$A:$J,6,FALSE),"")</f>
        <v>未定</v>
      </c>
      <c r="J163" s="37" t="str">
        <f>IF($C163&lt;&gt;"",VLOOKUP($C163,授業リスト!$A:$J,7,FALSE),"")</f>
        <v>未定</v>
      </c>
      <c r="K163" s="38" t="str">
        <f>IF($C163&lt;&gt;"",VLOOKUP($C163,授業リスト!$A:$J,9,FALSE),"")</f>
        <v>3～4</v>
      </c>
      <c r="L163" s="4">
        <v>3</v>
      </c>
      <c r="M163" s="34"/>
      <c r="N163" s="34" t="s">
        <v>939</v>
      </c>
      <c r="O163" s="34"/>
      <c r="P163" s="34"/>
      <c r="Q163" s="34"/>
      <c r="R163" s="2"/>
    </row>
    <row r="164" spans="1:18">
      <c r="A164" s="37">
        <v>4</v>
      </c>
      <c r="B164" s="37" t="s">
        <v>69</v>
      </c>
      <c r="C164" s="85"/>
      <c r="D164" s="37" t="str">
        <f>IF($C164&lt;&gt;"",VLOOKUP($C164,授業リスト!$A:$J,2,FALSE),"")</f>
        <v/>
      </c>
      <c r="E164" s="37" t="str">
        <f>IF($C164&lt;&gt;"",VLOOKUP($C164,授業リスト!$A:$J,3,FALSE),"")</f>
        <v/>
      </c>
      <c r="F164" s="37" t="str">
        <f>IF($C164&lt;&gt;"",VLOOKUP($C164,授業リスト!$A:$J,8,FALSE),"")</f>
        <v/>
      </c>
      <c r="G164" s="37" t="str">
        <f>IF($C164&lt;&gt;"",VLOOKUP($C164,授業リスト!$A:$J,4,FALSE),"")</f>
        <v/>
      </c>
      <c r="H164" s="37" t="str">
        <f>IF($C164&lt;&gt;"",VLOOKUP($C164,授業リスト!$A:$J,5,FALSE),"")</f>
        <v/>
      </c>
      <c r="I164" s="37" t="str">
        <f>IF($C164&lt;&gt;"",VLOOKUP($C164,授業リスト!$A:$J,6,FALSE),"")</f>
        <v/>
      </c>
      <c r="J164" s="37" t="str">
        <f>IF($C164&lt;&gt;"",VLOOKUP($C164,授業リスト!$A:$J,7,FALSE),"")</f>
        <v/>
      </c>
      <c r="K164" s="38" t="str">
        <f>IF($C164&lt;&gt;"",VLOOKUP($C164,授業リスト!$A:$J,9,FALSE),"")</f>
        <v/>
      </c>
      <c r="L164" s="4">
        <v>4</v>
      </c>
      <c r="M164" s="34"/>
      <c r="N164" s="34"/>
      <c r="O164" s="34"/>
      <c r="P164" s="34"/>
      <c r="Q164" s="34"/>
      <c r="R164" s="2"/>
    </row>
    <row r="165" spans="1:18">
      <c r="A165" s="37">
        <v>4</v>
      </c>
      <c r="B165" s="37" t="s">
        <v>69</v>
      </c>
      <c r="C165" s="85">
        <v>37485</v>
      </c>
      <c r="D165" s="37" t="str">
        <f>IF($C165&lt;&gt;"",VLOOKUP($C165,授業リスト!$A:$J,2,FALSE),"")</f>
        <v>Special Lectures in English Communication Studies III</v>
      </c>
      <c r="E165" s="37">
        <f>IF($C165&lt;&gt;"",VLOOKUP($C165,授業リスト!$A:$J,3,FALSE),"")</f>
        <v>0</v>
      </c>
      <c r="F165" s="37" t="str">
        <f>IF($C165&lt;&gt;"",VLOOKUP($C165,授業リスト!$A:$J,8,FALSE),"")</f>
        <v>Robert Frost</v>
      </c>
      <c r="G165" s="37">
        <f>IF($C165&lt;&gt;"",VLOOKUP($C165,授業リスト!$A:$J,4,FALSE),"")</f>
        <v>2</v>
      </c>
      <c r="H165" s="37" t="str">
        <f>IF($C165&lt;&gt;"",VLOOKUP($C165,授業リスト!$A:$J,5,FALSE),"")</f>
        <v>前</v>
      </c>
      <c r="I165" s="37" t="str">
        <f>IF($C165&lt;&gt;"",VLOOKUP($C165,授業リスト!$A:$J,6,FALSE),"")</f>
        <v>火</v>
      </c>
      <c r="J165" s="37">
        <f>IF($C165&lt;&gt;"",VLOOKUP($C165,授業リスト!$A:$J,7,FALSE),"")</f>
        <v>3</v>
      </c>
      <c r="K165" s="38">
        <f>IF($C165&lt;&gt;"",VLOOKUP($C165,授業リスト!$A:$J,9,FALSE),"")</f>
        <v>4</v>
      </c>
      <c r="L165" s="4">
        <v>5</v>
      </c>
      <c r="M165" s="34"/>
      <c r="N165" s="34"/>
      <c r="O165" s="34"/>
      <c r="P165" s="34"/>
      <c r="Q165" s="34"/>
      <c r="R165" s="2"/>
    </row>
    <row r="166" spans="1:18">
      <c r="A166" s="37">
        <v>4</v>
      </c>
      <c r="B166" s="37" t="s">
        <v>69</v>
      </c>
      <c r="C166" s="85"/>
      <c r="D166" s="37" t="str">
        <f>IF($C166&lt;&gt;"",VLOOKUP($C166,授業リスト!$A:$J,2,FALSE),"")</f>
        <v/>
      </c>
      <c r="E166" s="37" t="str">
        <f>IF($C166&lt;&gt;"",VLOOKUP($C166,授業リスト!$A:$J,3,FALSE),"")</f>
        <v/>
      </c>
      <c r="F166" s="37" t="str">
        <f>IF($C166&lt;&gt;"",VLOOKUP($C166,授業リスト!$A:$J,8,FALSE),"")</f>
        <v/>
      </c>
      <c r="G166" s="37" t="str">
        <f>IF($C166&lt;&gt;"",VLOOKUP($C166,授業リスト!$A:$J,4,FALSE),"")</f>
        <v/>
      </c>
      <c r="H166" s="37" t="str">
        <f>IF($C166&lt;&gt;"",VLOOKUP($C166,授業リスト!$A:$J,5,FALSE),"")</f>
        <v/>
      </c>
      <c r="I166" s="37" t="str">
        <f>IF($C166&lt;&gt;"",VLOOKUP($C166,授業リスト!$A:$J,6,FALSE),"")</f>
        <v/>
      </c>
      <c r="J166" s="37" t="str">
        <f>IF($C166&lt;&gt;"",VLOOKUP($C166,授業リスト!$A:$J,7,FALSE),"")</f>
        <v/>
      </c>
      <c r="K166" s="38" t="str">
        <f>IF($C166&lt;&gt;"",VLOOKUP($C166,授業リスト!$A:$J,9,FALSE),"")</f>
        <v/>
      </c>
      <c r="L166" s="4">
        <v>6</v>
      </c>
      <c r="M166" s="34"/>
      <c r="N166" s="34"/>
      <c r="O166" s="34"/>
      <c r="P166" s="34"/>
      <c r="Q166" s="34"/>
      <c r="R166" s="2"/>
    </row>
    <row r="167" spans="1:18">
      <c r="A167" s="37">
        <v>4</v>
      </c>
      <c r="B167" s="37" t="s">
        <v>69</v>
      </c>
      <c r="C167" s="85"/>
      <c r="D167" s="37" t="str">
        <f>IF($C167&lt;&gt;"",VLOOKUP($C167,授業リスト!$A:$J,2,FALSE),"")</f>
        <v/>
      </c>
      <c r="E167" s="37" t="str">
        <f>IF($C167&lt;&gt;"",VLOOKUP($C167,授業リスト!$A:$J,3,FALSE),"")</f>
        <v/>
      </c>
      <c r="F167" s="37" t="str">
        <f>IF($C167&lt;&gt;"",VLOOKUP($C167,授業リスト!$A:$J,8,FALSE),"")</f>
        <v/>
      </c>
      <c r="G167" s="37" t="str">
        <f>IF($C167&lt;&gt;"",VLOOKUP($C167,授業リスト!$A:$J,4,FALSE),"")</f>
        <v/>
      </c>
      <c r="H167" s="37" t="str">
        <f>IF($C167&lt;&gt;"",VLOOKUP($C167,授業リスト!$A:$J,5,FALSE),"")</f>
        <v/>
      </c>
      <c r="I167" s="37" t="str">
        <f>IF($C167&lt;&gt;"",VLOOKUP($C167,授業リスト!$A:$J,6,FALSE),"")</f>
        <v/>
      </c>
      <c r="J167" s="37" t="str">
        <f>IF($C167&lt;&gt;"",VLOOKUP($C167,授業リスト!$A:$J,7,FALSE),"")</f>
        <v/>
      </c>
      <c r="K167" s="38" t="str">
        <f>IF($C167&lt;&gt;"",VLOOKUP($C167,授業リスト!$A:$J,9,FALSE),"")</f>
        <v/>
      </c>
      <c r="L167" s="4" t="s">
        <v>1160</v>
      </c>
      <c r="M167" s="102" t="s">
        <v>1148</v>
      </c>
      <c r="N167" s="103"/>
      <c r="O167" s="103"/>
      <c r="P167" s="103"/>
      <c r="Q167" s="104"/>
      <c r="R167" s="2"/>
    </row>
    <row r="168" spans="1:18">
      <c r="A168" s="37">
        <v>4</v>
      </c>
      <c r="B168" s="37" t="s">
        <v>69</v>
      </c>
      <c r="C168" s="85"/>
      <c r="D168" s="37" t="str">
        <f>IF($C168&lt;&gt;"",VLOOKUP($C168,授業リスト!$A:$J,2,FALSE),"")</f>
        <v/>
      </c>
      <c r="E168" s="37" t="str">
        <f>IF($C168&lt;&gt;"",VLOOKUP($C168,授業リスト!$A:$J,3,FALSE),"")</f>
        <v/>
      </c>
      <c r="F168" s="37" t="str">
        <f>IF($C168&lt;&gt;"",VLOOKUP($C168,授業リスト!$A:$J,8,FALSE),"")</f>
        <v/>
      </c>
      <c r="G168" s="37" t="str">
        <f>IF($C168&lt;&gt;"",VLOOKUP($C168,授業リスト!$A:$J,4,FALSE),"")</f>
        <v/>
      </c>
      <c r="H168" s="37" t="str">
        <f>IF($C168&lt;&gt;"",VLOOKUP($C168,授業リスト!$A:$J,5,FALSE),"")</f>
        <v/>
      </c>
      <c r="I168" s="37" t="str">
        <f>IF($C168&lt;&gt;"",VLOOKUP($C168,授業リスト!$A:$J,6,FALSE),"")</f>
        <v/>
      </c>
      <c r="J168" s="37" t="str">
        <f>IF($C168&lt;&gt;"",VLOOKUP($C168,授業リスト!$A:$J,7,FALSE),"")</f>
        <v/>
      </c>
      <c r="K168" s="38" t="str">
        <f>IF($C168&lt;&gt;"",VLOOKUP($C168,授業リスト!$A:$J,9,FALSE),"")</f>
        <v/>
      </c>
      <c r="L168" s="15"/>
      <c r="M168" s="15"/>
      <c r="N168" s="15"/>
      <c r="O168" s="15"/>
      <c r="P168" s="15"/>
      <c r="Q168" s="15"/>
    </row>
    <row r="169" spans="1:18">
      <c r="A169" s="37">
        <v>4</v>
      </c>
      <c r="B169" s="37" t="s">
        <v>69</v>
      </c>
      <c r="C169" s="85"/>
      <c r="D169" s="37" t="str">
        <f>IF($C169&lt;&gt;"",VLOOKUP($C169,授業リスト!$A:$J,2,FALSE),"")</f>
        <v/>
      </c>
      <c r="E169" s="37" t="str">
        <f>IF($C169&lt;&gt;"",VLOOKUP($C169,授業リスト!$A:$J,3,FALSE),"")</f>
        <v/>
      </c>
      <c r="F169" s="37" t="str">
        <f>IF($C169&lt;&gt;"",VLOOKUP($C169,授業リスト!$A:$J,8,FALSE),"")</f>
        <v/>
      </c>
      <c r="G169" s="37" t="str">
        <f>IF($C169&lt;&gt;"",VLOOKUP($C169,授業リスト!$A:$J,4,FALSE),"")</f>
        <v/>
      </c>
      <c r="H169" s="37" t="str">
        <f>IF($C169&lt;&gt;"",VLOOKUP($C169,授業リスト!$A:$J,5,FALSE),"")</f>
        <v/>
      </c>
      <c r="I169" s="37" t="str">
        <f>IF($C169&lt;&gt;"",VLOOKUP($C169,授業リスト!$A:$J,6,FALSE),"")</f>
        <v/>
      </c>
      <c r="J169" s="37" t="str">
        <f>IF($C169&lt;&gt;"",VLOOKUP($C169,授業リスト!$A:$J,7,FALSE),"")</f>
        <v/>
      </c>
      <c r="K169" s="38" t="str">
        <f>IF($C169&lt;&gt;"",VLOOKUP($C169,授業リスト!$A:$J,9,FALSE),"")</f>
        <v/>
      </c>
      <c r="L169" s="15"/>
      <c r="M169" s="15"/>
      <c r="N169" s="15"/>
      <c r="O169" s="15"/>
      <c r="P169" s="15"/>
      <c r="Q169" s="15"/>
    </row>
    <row r="170" spans="1:18">
      <c r="A170" s="37">
        <v>4</v>
      </c>
      <c r="B170" s="37" t="s">
        <v>69</v>
      </c>
      <c r="C170" s="85"/>
      <c r="D170" s="37" t="str">
        <f>IF($C170&lt;&gt;"",VLOOKUP($C170,授業リスト!$A:$J,2,FALSE),"")</f>
        <v/>
      </c>
      <c r="E170" s="37" t="str">
        <f>IF($C170&lt;&gt;"",VLOOKUP($C170,授業リスト!$A:$J,3,FALSE),"")</f>
        <v/>
      </c>
      <c r="F170" s="37" t="str">
        <f>IF($C170&lt;&gt;"",VLOOKUP($C170,授業リスト!$A:$J,8,FALSE),"")</f>
        <v/>
      </c>
      <c r="G170" s="37" t="str">
        <f>IF($C170&lt;&gt;"",VLOOKUP($C170,授業リスト!$A:$J,4,FALSE),"")</f>
        <v/>
      </c>
      <c r="H170" s="37" t="str">
        <f>IF($C170&lt;&gt;"",VLOOKUP($C170,授業リスト!$A:$J,5,FALSE),"")</f>
        <v/>
      </c>
      <c r="I170" s="37" t="str">
        <f>IF($C170&lt;&gt;"",VLOOKUP($C170,授業リスト!$A:$J,6,FALSE),"")</f>
        <v/>
      </c>
      <c r="J170" s="37" t="str">
        <f>IF($C170&lt;&gt;"",VLOOKUP($C170,授業リスト!$A:$J,7,FALSE),"")</f>
        <v/>
      </c>
      <c r="K170" s="38" t="str">
        <f>IF($C170&lt;&gt;"",VLOOKUP($C170,授業リスト!$A:$J,9,FALSE),"")</f>
        <v/>
      </c>
      <c r="L170" s="15"/>
      <c r="M170" s="15"/>
      <c r="N170" s="15"/>
      <c r="O170" s="15"/>
      <c r="P170" s="15"/>
      <c r="Q170" s="15"/>
    </row>
    <row r="171" spans="1:18">
      <c r="A171" s="37">
        <v>4</v>
      </c>
      <c r="B171" s="37" t="s">
        <v>69</v>
      </c>
      <c r="C171" s="85"/>
      <c r="D171" s="37" t="str">
        <f>IF($C171&lt;&gt;"",VLOOKUP($C171,授業リスト!$A:$J,2,FALSE),"")</f>
        <v/>
      </c>
      <c r="E171" s="37" t="str">
        <f>IF($C171&lt;&gt;"",VLOOKUP($C171,授業リスト!$A:$J,3,FALSE),"")</f>
        <v/>
      </c>
      <c r="F171" s="37" t="str">
        <f>IF($C171&lt;&gt;"",VLOOKUP($C171,授業リスト!$A:$J,8,FALSE),"")</f>
        <v/>
      </c>
      <c r="G171" s="37" t="str">
        <f>IF($C171&lt;&gt;"",VLOOKUP($C171,授業リスト!$A:$J,4,FALSE),"")</f>
        <v/>
      </c>
      <c r="H171" s="37" t="str">
        <f>IF($C171&lt;&gt;"",VLOOKUP($C171,授業リスト!$A:$J,5,FALSE),"")</f>
        <v/>
      </c>
      <c r="I171" s="37" t="str">
        <f>IF($C171&lt;&gt;"",VLOOKUP($C171,授業リスト!$A:$J,6,FALSE),"")</f>
        <v/>
      </c>
      <c r="J171" s="37" t="str">
        <f>IF($C171&lt;&gt;"",VLOOKUP($C171,授業リスト!$A:$J,7,FALSE),"")</f>
        <v/>
      </c>
      <c r="K171" s="38" t="str">
        <f>IF($C171&lt;&gt;"",VLOOKUP($C171,授業リスト!$A:$J,9,FALSE),"")</f>
        <v/>
      </c>
      <c r="L171" s="15"/>
      <c r="M171" s="15"/>
      <c r="N171" s="15"/>
      <c r="O171" s="15"/>
      <c r="P171" s="15"/>
      <c r="Q171" s="15"/>
    </row>
    <row r="172" spans="1:18">
      <c r="A172" s="37">
        <v>4</v>
      </c>
      <c r="B172" s="37" t="s">
        <v>69</v>
      </c>
      <c r="C172" s="85"/>
      <c r="D172" s="37" t="str">
        <f>IF($C172&lt;&gt;"",VLOOKUP($C172,授業リスト!$A:$J,2,FALSE),"")</f>
        <v/>
      </c>
      <c r="E172" s="37" t="str">
        <f>IF($C172&lt;&gt;"",VLOOKUP($C172,授業リスト!$A:$J,3,FALSE),"")</f>
        <v/>
      </c>
      <c r="F172" s="37" t="str">
        <f>IF($C172&lt;&gt;"",VLOOKUP($C172,授業リスト!$A:$J,8,FALSE),"")</f>
        <v/>
      </c>
      <c r="G172" s="37" t="str">
        <f>IF($C172&lt;&gt;"",VLOOKUP($C172,授業リスト!$A:$J,4,FALSE),"")</f>
        <v/>
      </c>
      <c r="H172" s="37" t="str">
        <f>IF($C172&lt;&gt;"",VLOOKUP($C172,授業リスト!$A:$J,5,FALSE),"")</f>
        <v/>
      </c>
      <c r="I172" s="37" t="str">
        <f>IF($C172&lt;&gt;"",VLOOKUP($C172,授業リスト!$A:$J,6,FALSE),"")</f>
        <v/>
      </c>
      <c r="J172" s="37" t="str">
        <f>IF($C172&lt;&gt;"",VLOOKUP($C172,授業リスト!$A:$J,7,FALSE),"")</f>
        <v/>
      </c>
      <c r="K172" s="38" t="str">
        <f>IF($C172&lt;&gt;"",VLOOKUP($C172,授業リスト!$A:$J,9,FALSE),"")</f>
        <v/>
      </c>
      <c r="L172" s="15"/>
      <c r="M172" s="15"/>
      <c r="N172" s="15"/>
      <c r="O172" s="15"/>
      <c r="P172" s="15"/>
      <c r="Q172" s="15"/>
    </row>
    <row r="173" spans="1:18">
      <c r="A173" s="37">
        <v>4</v>
      </c>
      <c r="B173" s="37" t="s">
        <v>69</v>
      </c>
      <c r="C173" s="85"/>
      <c r="D173" s="37" t="str">
        <f>IF($C173&lt;&gt;"",VLOOKUP($C173,授業リスト!$A:$J,2,FALSE),"")</f>
        <v/>
      </c>
      <c r="E173" s="37" t="str">
        <f>IF($C173&lt;&gt;"",VLOOKUP($C173,授業リスト!$A:$J,3,FALSE),"")</f>
        <v/>
      </c>
      <c r="F173" s="37" t="str">
        <f>IF($C173&lt;&gt;"",VLOOKUP($C173,授業リスト!$A:$J,8,FALSE),"")</f>
        <v/>
      </c>
      <c r="G173" s="37" t="str">
        <f>IF($C173&lt;&gt;"",VLOOKUP($C173,授業リスト!$A:$J,4,FALSE),"")</f>
        <v/>
      </c>
      <c r="H173" s="37" t="str">
        <f>IF($C173&lt;&gt;"",VLOOKUP($C173,授業リスト!$A:$J,5,FALSE),"")</f>
        <v/>
      </c>
      <c r="I173" s="37" t="str">
        <f>IF($C173&lt;&gt;"",VLOOKUP($C173,授業リスト!$A:$J,6,FALSE),"")</f>
        <v/>
      </c>
      <c r="J173" s="37" t="str">
        <f>IF($C173&lt;&gt;"",VLOOKUP($C173,授業リスト!$A:$J,7,FALSE),"")</f>
        <v/>
      </c>
      <c r="K173" s="38" t="str">
        <f>IF($C173&lt;&gt;"",VLOOKUP($C173,授業リスト!$A:$J,9,FALSE),"")</f>
        <v/>
      </c>
      <c r="L173" s="15"/>
      <c r="M173" s="15"/>
      <c r="N173" s="15"/>
      <c r="O173" s="15"/>
      <c r="P173" s="15"/>
      <c r="Q173" s="15"/>
    </row>
    <row r="174" spans="1:18">
      <c r="A174" s="37">
        <v>4</v>
      </c>
      <c r="B174" s="37" t="s">
        <v>69</v>
      </c>
      <c r="C174" s="85"/>
      <c r="D174" s="37" t="str">
        <f>IF($C174&lt;&gt;"",VLOOKUP($C174,授業リスト!$A:$J,2,FALSE),"")</f>
        <v/>
      </c>
      <c r="E174" s="37" t="str">
        <f>IF($C174&lt;&gt;"",VLOOKUP($C174,授業リスト!$A:$J,3,FALSE),"")</f>
        <v/>
      </c>
      <c r="F174" s="37" t="str">
        <f>IF($C174&lt;&gt;"",VLOOKUP($C174,授業リスト!$A:$J,8,FALSE),"")</f>
        <v/>
      </c>
      <c r="G174" s="37" t="str">
        <f>IF($C174&lt;&gt;"",VLOOKUP($C174,授業リスト!$A:$J,4,FALSE),"")</f>
        <v/>
      </c>
      <c r="H174" s="37" t="str">
        <f>IF($C174&lt;&gt;"",VLOOKUP($C174,授業リスト!$A:$J,5,FALSE),"")</f>
        <v/>
      </c>
      <c r="I174" s="37" t="str">
        <f>IF($C174&lt;&gt;"",VLOOKUP($C174,授業リスト!$A:$J,6,FALSE),"")</f>
        <v/>
      </c>
      <c r="J174" s="37" t="str">
        <f>IF($C174&lt;&gt;"",VLOOKUP($C174,授業リスト!$A:$J,7,FALSE),"")</f>
        <v/>
      </c>
      <c r="K174" s="38" t="str">
        <f>IF($C174&lt;&gt;"",VLOOKUP($C174,授業リスト!$A:$J,9,FALSE),"")</f>
        <v/>
      </c>
      <c r="L174" s="15"/>
      <c r="M174" s="15"/>
      <c r="N174" s="15"/>
      <c r="O174" s="15"/>
      <c r="P174" s="15"/>
      <c r="Q174" s="15"/>
    </row>
    <row r="175" spans="1:18">
      <c r="A175" s="37">
        <v>4</v>
      </c>
      <c r="B175" s="37" t="s">
        <v>69</v>
      </c>
      <c r="C175" s="85"/>
      <c r="D175" s="37" t="str">
        <f>IF($C175&lt;&gt;"",VLOOKUP($C175,授業リスト!$A:$J,2,FALSE),"")</f>
        <v/>
      </c>
      <c r="E175" s="37" t="str">
        <f>IF($C175&lt;&gt;"",VLOOKUP($C175,授業リスト!$A:$J,3,FALSE),"")</f>
        <v/>
      </c>
      <c r="F175" s="37" t="str">
        <f>IF($C175&lt;&gt;"",VLOOKUP($C175,授業リスト!$A:$J,8,FALSE),"")</f>
        <v/>
      </c>
      <c r="G175" s="37" t="str">
        <f>IF($C175&lt;&gt;"",VLOOKUP($C175,授業リスト!$A:$J,4,FALSE),"")</f>
        <v/>
      </c>
      <c r="H175" s="37" t="str">
        <f>IF($C175&lt;&gt;"",VLOOKUP($C175,授業リスト!$A:$J,5,FALSE),"")</f>
        <v/>
      </c>
      <c r="I175" s="37" t="str">
        <f>IF($C175&lt;&gt;"",VLOOKUP($C175,授業リスト!$A:$J,6,FALSE),"")</f>
        <v/>
      </c>
      <c r="J175" s="37" t="str">
        <f>IF($C175&lt;&gt;"",VLOOKUP($C175,授業リスト!$A:$J,7,FALSE),"")</f>
        <v/>
      </c>
      <c r="K175" s="38" t="str">
        <f>IF($C175&lt;&gt;"",VLOOKUP($C175,授業リスト!$A:$J,9,FALSE),"")</f>
        <v/>
      </c>
      <c r="L175" s="15"/>
      <c r="M175" s="15"/>
      <c r="N175" s="15"/>
      <c r="O175" s="15"/>
      <c r="P175" s="15"/>
      <c r="Q175" s="15"/>
    </row>
    <row r="176" spans="1:18">
      <c r="A176" s="37">
        <v>4</v>
      </c>
      <c r="B176" s="37" t="s">
        <v>69</v>
      </c>
      <c r="C176" s="85"/>
      <c r="D176" s="37" t="str">
        <f>IF($C176&lt;&gt;"",VLOOKUP($C176,授業リスト!$A:$J,2,FALSE),"")</f>
        <v/>
      </c>
      <c r="E176" s="37" t="str">
        <f>IF($C176&lt;&gt;"",VLOOKUP($C176,授業リスト!$A:$J,3,FALSE),"")</f>
        <v/>
      </c>
      <c r="F176" s="37" t="str">
        <f>IF($C176&lt;&gt;"",VLOOKUP($C176,授業リスト!$A:$J,8,FALSE),"")</f>
        <v/>
      </c>
      <c r="G176" s="37" t="str">
        <f>IF($C176&lt;&gt;"",VLOOKUP($C176,授業リスト!$A:$J,4,FALSE),"")</f>
        <v/>
      </c>
      <c r="H176" s="37" t="str">
        <f>IF($C176&lt;&gt;"",VLOOKUP($C176,授業リスト!$A:$J,5,FALSE),"")</f>
        <v/>
      </c>
      <c r="I176" s="37" t="str">
        <f>IF($C176&lt;&gt;"",VLOOKUP($C176,授業リスト!$A:$J,6,FALSE),"")</f>
        <v/>
      </c>
      <c r="J176" s="37" t="str">
        <f>IF($C176&lt;&gt;"",VLOOKUP($C176,授業リスト!$A:$J,7,FALSE),"")</f>
        <v/>
      </c>
      <c r="K176" s="38" t="str">
        <f>IF($C176&lt;&gt;"",VLOOKUP($C176,授業リスト!$A:$J,9,FALSE),"")</f>
        <v/>
      </c>
      <c r="L176" s="15"/>
      <c r="M176" s="15"/>
      <c r="N176" s="15"/>
      <c r="O176" s="15"/>
      <c r="P176" s="15"/>
      <c r="Q176" s="15"/>
    </row>
    <row r="177" spans="1:18">
      <c r="A177" s="37">
        <v>4</v>
      </c>
      <c r="B177" s="37" t="s">
        <v>69</v>
      </c>
      <c r="C177" s="85"/>
      <c r="D177" s="37" t="str">
        <f>IF($C177&lt;&gt;"",VLOOKUP($C177,授業リスト!$A:$J,2,FALSE),"")</f>
        <v/>
      </c>
      <c r="E177" s="37" t="str">
        <f>IF($C177&lt;&gt;"",VLOOKUP($C177,授業リスト!$A:$J,3,FALSE),"")</f>
        <v/>
      </c>
      <c r="F177" s="37" t="str">
        <f>IF($C177&lt;&gt;"",VLOOKUP($C177,授業リスト!$A:$J,8,FALSE),"")</f>
        <v/>
      </c>
      <c r="G177" s="37" t="str">
        <f>IF($C177&lt;&gt;"",VLOOKUP($C177,授業リスト!$A:$J,4,FALSE),"")</f>
        <v/>
      </c>
      <c r="H177" s="37" t="str">
        <f>IF($C177&lt;&gt;"",VLOOKUP($C177,授業リスト!$A:$J,5,FALSE),"")</f>
        <v/>
      </c>
      <c r="I177" s="37" t="str">
        <f>IF($C177&lt;&gt;"",VLOOKUP($C177,授業リスト!$A:$J,6,FALSE),"")</f>
        <v/>
      </c>
      <c r="J177" s="37" t="str">
        <f>IF($C177&lt;&gt;"",VLOOKUP($C177,授業リスト!$A:$J,7,FALSE),"")</f>
        <v/>
      </c>
      <c r="K177" s="38" t="str">
        <f>IF($C177&lt;&gt;"",VLOOKUP($C177,授業リスト!$A:$J,9,FALSE),"")</f>
        <v/>
      </c>
      <c r="L177" s="15"/>
      <c r="M177" s="15"/>
      <c r="N177" s="15"/>
      <c r="O177" s="15"/>
      <c r="P177" s="15"/>
      <c r="Q177" s="15"/>
    </row>
    <row r="178" spans="1:18">
      <c r="A178" s="37">
        <v>4</v>
      </c>
      <c r="B178" s="37" t="s">
        <v>69</v>
      </c>
      <c r="C178" s="85"/>
      <c r="D178" s="37" t="str">
        <f>IF($C178&lt;&gt;"",VLOOKUP($C178,授業リスト!$A:$J,2,FALSE),"")</f>
        <v/>
      </c>
      <c r="E178" s="37" t="str">
        <f>IF($C178&lt;&gt;"",VLOOKUP($C178,授業リスト!$A:$J,3,FALSE),"")</f>
        <v/>
      </c>
      <c r="F178" s="37" t="str">
        <f>IF($C178&lt;&gt;"",VLOOKUP($C178,授業リスト!$A:$J,8,FALSE),"")</f>
        <v/>
      </c>
      <c r="G178" s="37" t="str">
        <f>IF($C178&lt;&gt;"",VLOOKUP($C178,授業リスト!$A:$J,4,FALSE),"")</f>
        <v/>
      </c>
      <c r="H178" s="37" t="str">
        <f>IF($C178&lt;&gt;"",VLOOKUP($C178,授業リスト!$A:$J,5,FALSE),"")</f>
        <v/>
      </c>
      <c r="I178" s="37" t="str">
        <f>IF($C178&lt;&gt;"",VLOOKUP($C178,授業リスト!$A:$J,6,FALSE),"")</f>
        <v/>
      </c>
      <c r="J178" s="37" t="str">
        <f>IF($C178&lt;&gt;"",VLOOKUP($C178,授業リスト!$A:$J,7,FALSE),"")</f>
        <v/>
      </c>
      <c r="K178" s="38" t="str">
        <f>IF($C178&lt;&gt;"",VLOOKUP($C178,授業リスト!$A:$J,9,FALSE),"")</f>
        <v/>
      </c>
      <c r="L178" s="15"/>
      <c r="M178" s="15"/>
      <c r="N178" s="15"/>
      <c r="O178" s="15"/>
      <c r="P178" s="15"/>
      <c r="Q178" s="15"/>
    </row>
    <row r="179" spans="1:18">
      <c r="A179" s="37">
        <v>4</v>
      </c>
      <c r="B179" s="37" t="s">
        <v>69</v>
      </c>
      <c r="C179" s="85"/>
      <c r="D179" s="37" t="str">
        <f>IF($C179&lt;&gt;"",VLOOKUP($C179,授業リスト!$A:$J,2,FALSE),"")</f>
        <v/>
      </c>
      <c r="E179" s="37" t="str">
        <f>IF($C179&lt;&gt;"",VLOOKUP($C179,授業リスト!$A:$J,3,FALSE),"")</f>
        <v/>
      </c>
      <c r="F179" s="37" t="str">
        <f>IF($C179&lt;&gt;"",VLOOKUP($C179,授業リスト!$A:$J,8,FALSE),"")</f>
        <v/>
      </c>
      <c r="G179" s="37" t="str">
        <f>IF($C179&lt;&gt;"",VLOOKUP($C179,授業リスト!$A:$J,4,FALSE),"")</f>
        <v/>
      </c>
      <c r="H179" s="37" t="str">
        <f>IF($C179&lt;&gt;"",VLOOKUP($C179,授業リスト!$A:$J,5,FALSE),"")</f>
        <v/>
      </c>
      <c r="I179" s="37" t="str">
        <f>IF($C179&lt;&gt;"",VLOOKUP($C179,授業リスト!$A:$J,6,FALSE),"")</f>
        <v/>
      </c>
      <c r="J179" s="37" t="str">
        <f>IF($C179&lt;&gt;"",VLOOKUP($C179,授業リスト!$A:$J,7,FALSE),"")</f>
        <v/>
      </c>
      <c r="K179" s="38" t="str">
        <f>IF($C179&lt;&gt;"",VLOOKUP($C179,授業リスト!$A:$J,9,FALSE),"")</f>
        <v/>
      </c>
      <c r="L179" s="15"/>
      <c r="M179" s="15"/>
      <c r="N179" s="15"/>
      <c r="O179" s="15"/>
      <c r="P179" s="15"/>
      <c r="Q179" s="15"/>
    </row>
    <row r="180" spans="1:18">
      <c r="A180" s="37">
        <v>4</v>
      </c>
      <c r="B180" s="37" t="s">
        <v>69</v>
      </c>
      <c r="C180" s="85"/>
      <c r="D180" s="37" t="str">
        <f>IF($C180&lt;&gt;"",VLOOKUP($C180,授業リスト!$A:$J,2,FALSE),"")</f>
        <v/>
      </c>
      <c r="E180" s="37" t="str">
        <f>IF($C180&lt;&gt;"",VLOOKUP($C180,授業リスト!$A:$J,3,FALSE),"")</f>
        <v/>
      </c>
      <c r="F180" s="37" t="str">
        <f>IF($C180&lt;&gt;"",VLOOKUP($C180,授業リスト!$A:$J,8,FALSE),"")</f>
        <v/>
      </c>
      <c r="G180" s="37" t="str">
        <f>IF($C180&lt;&gt;"",VLOOKUP($C180,授業リスト!$A:$J,4,FALSE),"")</f>
        <v/>
      </c>
      <c r="H180" s="37" t="str">
        <f>IF($C180&lt;&gt;"",VLOOKUP($C180,授業リスト!$A:$J,5,FALSE),"")</f>
        <v/>
      </c>
      <c r="I180" s="37" t="str">
        <f>IF($C180&lt;&gt;"",VLOOKUP($C180,授業リスト!$A:$J,6,FALSE),"")</f>
        <v/>
      </c>
      <c r="J180" s="37" t="str">
        <f>IF($C180&lt;&gt;"",VLOOKUP($C180,授業リスト!$A:$J,7,FALSE),"")</f>
        <v/>
      </c>
      <c r="K180" s="38" t="str">
        <f>IF($C180&lt;&gt;"",VLOOKUP($C180,授業リスト!$A:$J,9,FALSE),"")</f>
        <v/>
      </c>
      <c r="L180" s="15"/>
      <c r="M180" s="15"/>
      <c r="N180" s="15"/>
      <c r="O180" s="15"/>
      <c r="P180" s="15"/>
      <c r="Q180" s="15"/>
    </row>
    <row r="181" spans="1:18">
      <c r="A181" s="37">
        <v>4</v>
      </c>
      <c r="B181" s="37" t="s">
        <v>69</v>
      </c>
      <c r="C181" s="85"/>
      <c r="D181" s="37" t="str">
        <f>IF($C181&lt;&gt;"",VLOOKUP($C181,授業リスト!$A:$J,2,FALSE),"")</f>
        <v/>
      </c>
      <c r="E181" s="37" t="str">
        <f>IF($C181&lt;&gt;"",VLOOKUP($C181,授業リスト!$A:$J,3,FALSE),"")</f>
        <v/>
      </c>
      <c r="F181" s="37" t="str">
        <f>IF($C181&lt;&gt;"",VLOOKUP($C181,授業リスト!$A:$J,8,FALSE),"")</f>
        <v/>
      </c>
      <c r="G181" s="37" t="str">
        <f>IF($C181&lt;&gt;"",VLOOKUP($C181,授業リスト!$A:$J,4,FALSE),"")</f>
        <v/>
      </c>
      <c r="H181" s="37" t="str">
        <f>IF($C181&lt;&gt;"",VLOOKUP($C181,授業リスト!$A:$J,5,FALSE),"")</f>
        <v/>
      </c>
      <c r="I181" s="37" t="str">
        <f>IF($C181&lt;&gt;"",VLOOKUP($C181,授業リスト!$A:$J,6,FALSE),"")</f>
        <v/>
      </c>
      <c r="J181" s="37" t="str">
        <f>IF($C181&lt;&gt;"",VLOOKUP($C181,授業リスト!$A:$J,7,FALSE),"")</f>
        <v/>
      </c>
      <c r="K181" s="38" t="str">
        <f>IF($C181&lt;&gt;"",VLOOKUP($C181,授業リスト!$A:$J,9,FALSE),"")</f>
        <v/>
      </c>
      <c r="L181" s="15"/>
      <c r="M181" s="15"/>
      <c r="N181" s="15"/>
      <c r="O181" s="15"/>
      <c r="P181" s="15"/>
      <c r="Q181" s="15"/>
    </row>
    <row r="182" spans="1:18">
      <c r="A182" s="37">
        <v>4</v>
      </c>
      <c r="B182" s="37" t="s">
        <v>69</v>
      </c>
      <c r="C182" s="85"/>
      <c r="D182" s="37" t="str">
        <f>IF($C182&lt;&gt;"",VLOOKUP($C182,授業リスト!$A:$J,2,FALSE),"")</f>
        <v/>
      </c>
      <c r="E182" s="37" t="str">
        <f>IF($C182&lt;&gt;"",VLOOKUP($C182,授業リスト!$A:$J,3,FALSE),"")</f>
        <v/>
      </c>
      <c r="F182" s="37" t="str">
        <f>IF($C182&lt;&gt;"",VLOOKUP($C182,授業リスト!$A:$J,8,FALSE),"")</f>
        <v/>
      </c>
      <c r="G182" s="37" t="str">
        <f>IF($C182&lt;&gt;"",VLOOKUP($C182,授業リスト!$A:$J,4,FALSE),"")</f>
        <v/>
      </c>
      <c r="H182" s="37" t="str">
        <f>IF($C182&lt;&gt;"",VLOOKUP($C182,授業リスト!$A:$J,5,FALSE),"")</f>
        <v/>
      </c>
      <c r="I182" s="37" t="str">
        <f>IF($C182&lt;&gt;"",VLOOKUP($C182,授業リスト!$A:$J,6,FALSE),"")</f>
        <v/>
      </c>
      <c r="J182" s="37" t="str">
        <f>IF($C182&lt;&gt;"",VLOOKUP($C182,授業リスト!$A:$J,7,FALSE),"")</f>
        <v/>
      </c>
      <c r="K182" s="38" t="str">
        <f>IF($C182&lt;&gt;"",VLOOKUP($C182,授業リスト!$A:$J,9,FALSE),"")</f>
        <v/>
      </c>
      <c r="L182" s="15"/>
      <c r="M182" s="15"/>
      <c r="N182" s="15"/>
      <c r="O182" s="15"/>
      <c r="P182" s="15"/>
      <c r="Q182" s="15"/>
    </row>
    <row r="183" spans="1:18">
      <c r="A183" s="37">
        <v>4</v>
      </c>
      <c r="B183" s="37" t="s">
        <v>69</v>
      </c>
      <c r="C183" s="85"/>
      <c r="D183" s="37" t="str">
        <f>IF($C183&lt;&gt;"",VLOOKUP($C183,授業リスト!$A:$J,2,FALSE),"")</f>
        <v/>
      </c>
      <c r="E183" s="37" t="str">
        <f>IF($C183&lt;&gt;"",VLOOKUP($C183,授業リスト!$A:$J,3,FALSE),"")</f>
        <v/>
      </c>
      <c r="F183" s="37" t="str">
        <f>IF($C183&lt;&gt;"",VLOOKUP($C183,授業リスト!$A:$J,8,FALSE),"")</f>
        <v/>
      </c>
      <c r="G183" s="37" t="str">
        <f>IF($C183&lt;&gt;"",VLOOKUP($C183,授業リスト!$A:$J,4,FALSE),"")</f>
        <v/>
      </c>
      <c r="H183" s="37" t="str">
        <f>IF($C183&lt;&gt;"",VLOOKUP($C183,授業リスト!$A:$J,5,FALSE),"")</f>
        <v/>
      </c>
      <c r="I183" s="37" t="str">
        <f>IF($C183&lt;&gt;"",VLOOKUP($C183,授業リスト!$A:$J,6,FALSE),"")</f>
        <v/>
      </c>
      <c r="J183" s="37" t="str">
        <f>IF($C183&lt;&gt;"",VLOOKUP($C183,授業リスト!$A:$J,7,FALSE),"")</f>
        <v/>
      </c>
      <c r="K183" s="38" t="str">
        <f>IF($C183&lt;&gt;"",VLOOKUP($C183,授業リスト!$A:$J,9,FALSE),"")</f>
        <v/>
      </c>
      <c r="L183" s="15"/>
      <c r="M183" s="15"/>
      <c r="N183" s="15"/>
      <c r="O183" s="15"/>
      <c r="P183" s="15"/>
      <c r="Q183" s="15"/>
    </row>
    <row r="184" spans="1:18">
      <c r="A184" s="37">
        <v>4</v>
      </c>
      <c r="B184" s="37" t="s">
        <v>69</v>
      </c>
      <c r="C184" s="85"/>
      <c r="D184" s="37" t="str">
        <f>IF($C184&lt;&gt;"",VLOOKUP($C184,授業リスト!$A:$J,2,FALSE),"")</f>
        <v/>
      </c>
      <c r="E184" s="37" t="str">
        <f>IF($C184&lt;&gt;"",VLOOKUP($C184,授業リスト!$A:$J,3,FALSE),"")</f>
        <v/>
      </c>
      <c r="F184" s="37" t="str">
        <f>IF($C184&lt;&gt;"",VLOOKUP($C184,授業リスト!$A:$J,8,FALSE),"")</f>
        <v/>
      </c>
      <c r="G184" s="37" t="str">
        <f>IF($C184&lt;&gt;"",VLOOKUP($C184,授業リスト!$A:$J,4,FALSE),"")</f>
        <v/>
      </c>
      <c r="H184" s="37" t="str">
        <f>IF($C184&lt;&gt;"",VLOOKUP($C184,授業リスト!$A:$J,5,FALSE),"")</f>
        <v/>
      </c>
      <c r="I184" s="37" t="str">
        <f>IF($C184&lt;&gt;"",VLOOKUP($C184,授業リスト!$A:$J,6,FALSE),"")</f>
        <v/>
      </c>
      <c r="J184" s="37" t="str">
        <f>IF($C184&lt;&gt;"",VLOOKUP($C184,授業リスト!$A:$J,7,FALSE),"")</f>
        <v/>
      </c>
      <c r="K184" s="38" t="str">
        <f>IF($C184&lt;&gt;"",VLOOKUP($C184,授業リスト!$A:$J,9,FALSE),"")</f>
        <v/>
      </c>
      <c r="L184" s="15"/>
      <c r="M184" s="15"/>
      <c r="N184" s="15"/>
      <c r="O184" s="15"/>
      <c r="P184" s="15"/>
      <c r="Q184" s="15"/>
    </row>
    <row r="185" spans="1:18">
      <c r="A185" s="40">
        <v>4</v>
      </c>
      <c r="B185" s="40" t="s">
        <v>69</v>
      </c>
      <c r="C185" s="86"/>
      <c r="D185" s="40" t="str">
        <f>IF($C185&lt;&gt;"",VLOOKUP($C185,授業リスト!$A:$J,2,FALSE),"")</f>
        <v/>
      </c>
      <c r="E185" s="40" t="str">
        <f>IF($C185&lt;&gt;"",VLOOKUP($C185,授業リスト!$A:$J,3,FALSE),"")</f>
        <v/>
      </c>
      <c r="F185" s="40" t="str">
        <f>IF($C185&lt;&gt;"",VLOOKUP($C185,授業リスト!$A:$J,8,FALSE),"")</f>
        <v/>
      </c>
      <c r="G185" s="40" t="str">
        <f>IF($C185&lt;&gt;"",VLOOKUP($C185,授業リスト!$A:$J,4,FALSE),"")</f>
        <v/>
      </c>
      <c r="H185" s="40" t="str">
        <f>IF($C185&lt;&gt;"",VLOOKUP($C185,授業リスト!$A:$J,5,FALSE),"")</f>
        <v/>
      </c>
      <c r="I185" s="40" t="str">
        <f>IF($C185&lt;&gt;"",VLOOKUP($C185,授業リスト!$A:$J,6,FALSE),"")</f>
        <v/>
      </c>
      <c r="J185" s="40" t="str">
        <f>IF($C185&lt;&gt;"",VLOOKUP($C185,授業リスト!$A:$J,7,FALSE),"")</f>
        <v/>
      </c>
      <c r="K185" s="41" t="str">
        <f>IF($C185&lt;&gt;"",VLOOKUP($C185,授業リスト!$A:$J,9,FALSE),"")</f>
        <v/>
      </c>
      <c r="L185" s="15"/>
      <c r="M185" s="15"/>
      <c r="N185" s="15"/>
      <c r="O185" s="15"/>
      <c r="P185" s="15"/>
      <c r="Q185" s="15"/>
    </row>
    <row r="186" spans="1:18" ht="18">
      <c r="A186">
        <v>4</v>
      </c>
      <c r="B186" t="s">
        <v>47</v>
      </c>
      <c r="C186" s="87">
        <v>38019</v>
      </c>
      <c r="D186" t="str">
        <f>IF($C186&lt;&gt;"",VLOOKUP($C186,授業リスト!$A:$J,2,FALSE),"")</f>
        <v>Graduation Research</v>
      </c>
      <c r="E186">
        <f>IF($C186&lt;&gt;"",VLOOKUP($C186,授業リスト!$A:$J,3,FALSE),"")</f>
        <v>0</v>
      </c>
      <c r="F186" t="str">
        <f>IF($C186&lt;&gt;"",VLOOKUP($C186,授業リスト!$A:$J,8,FALSE),"")</f>
        <v>Antoine de Saint-Exupéry</v>
      </c>
      <c r="G186">
        <f>IF($C186&lt;&gt;"",VLOOKUP($C186,授業リスト!$A:$J,4,FALSE),"")</f>
        <v>4</v>
      </c>
      <c r="H186">
        <f>IF($C186&lt;&gt;"",VLOOKUP($C186,授業リスト!$A:$J,5,FALSE),"")</f>
        <v>0</v>
      </c>
      <c r="I186" t="str">
        <f>IF($C186&lt;&gt;"",VLOOKUP($C186,授業リスト!$A:$J,6,FALSE),"")</f>
        <v>不定期</v>
      </c>
      <c r="J186">
        <f>IF($C186&lt;&gt;"",VLOOKUP($C186,授業リスト!$A:$J,7,FALSE),"")</f>
        <v>0</v>
      </c>
      <c r="K186" s="30">
        <f>IF($C186&lt;&gt;"",VLOOKUP($C186,授業リスト!$A:$J,9,FALSE),"")</f>
        <v>4</v>
      </c>
      <c r="L186" s="2"/>
      <c r="M186" s="3" t="s">
        <v>1156</v>
      </c>
      <c r="N186" s="95" t="s">
        <v>1155</v>
      </c>
      <c r="O186" s="3" t="s">
        <v>1157</v>
      </c>
      <c r="P186" s="3" t="s">
        <v>1158</v>
      </c>
      <c r="Q186" s="3" t="s">
        <v>1159</v>
      </c>
      <c r="R186" s="2"/>
    </row>
    <row r="187" spans="1:18">
      <c r="A187">
        <v>4</v>
      </c>
      <c r="B187" t="s">
        <v>47</v>
      </c>
      <c r="C187" s="87">
        <v>37270</v>
      </c>
      <c r="D187" t="str">
        <f>IF($C187&lt;&gt;"",VLOOKUP($C187,授業リスト!$A:$J,2,FALSE),"")</f>
        <v>Professional Practice Exercises (Preschool, Elementary, Middle, High)</v>
      </c>
      <c r="E187" t="str">
        <f>IF($C187&lt;&gt;"",VLOOKUP($C187,授業リスト!$A:$J,3,FALSE),"")</f>
        <v>English Education</v>
      </c>
      <c r="F187" t="str">
        <f>IF($C187&lt;&gt;"",VLOOKUP($C187,授業リスト!$A:$J,8,FALSE),"")</f>
        <v>George Washington</v>
      </c>
      <c r="G187">
        <f>IF($C187&lt;&gt;"",VLOOKUP($C187,授業リスト!$A:$J,4,FALSE),"")</f>
        <v>2</v>
      </c>
      <c r="H187" t="str">
        <f>IF($C187&lt;&gt;"",VLOOKUP($C187,授業リスト!$A:$J,5,FALSE),"")</f>
        <v>後</v>
      </c>
      <c r="I187" t="str">
        <f>IF($C187&lt;&gt;"",VLOOKUP($C187,授業リスト!$A:$J,6,FALSE),"")</f>
        <v>木</v>
      </c>
      <c r="J187">
        <f>IF($C187&lt;&gt;"",VLOOKUP($C187,授業リスト!$A:$J,7,FALSE),"")</f>
        <v>2</v>
      </c>
      <c r="K187" s="30">
        <f>IF($C187&lt;&gt;"",VLOOKUP($C187,授業リスト!$A:$J,9,FALSE),"")</f>
        <v>4</v>
      </c>
      <c r="L187" s="4">
        <v>1</v>
      </c>
      <c r="M187" s="34"/>
      <c r="N187" s="34"/>
      <c r="O187" s="34"/>
      <c r="P187" s="34"/>
      <c r="Q187" s="34"/>
      <c r="R187" s="2"/>
    </row>
    <row r="188" spans="1:18" ht="105">
      <c r="A188">
        <v>4</v>
      </c>
      <c r="B188" t="s">
        <v>47</v>
      </c>
      <c r="C188" s="87"/>
      <c r="D188" t="str">
        <f>IF($C188&lt;&gt;"",VLOOKUP($C188,授業リスト!$A:$J,2,FALSE),"")</f>
        <v/>
      </c>
      <c r="E188" t="str">
        <f>IF($C188&lt;&gt;"",VLOOKUP($C188,授業リスト!$A:$J,3,FALSE),"")</f>
        <v/>
      </c>
      <c r="F188" t="str">
        <f>IF($C188&lt;&gt;"",VLOOKUP($C188,授業リスト!$A:$J,8,FALSE),"")</f>
        <v/>
      </c>
      <c r="G188" t="str">
        <f>IF($C188&lt;&gt;"",VLOOKUP($C188,授業リスト!$A:$J,4,FALSE),"")</f>
        <v/>
      </c>
      <c r="H188" t="str">
        <f>IF($C188&lt;&gt;"",VLOOKUP($C188,授業リスト!$A:$J,5,FALSE),"")</f>
        <v/>
      </c>
      <c r="I188" t="str">
        <f>IF($C188&lt;&gt;"",VLOOKUP($C188,授業リスト!$A:$J,6,FALSE),"")</f>
        <v/>
      </c>
      <c r="J188" t="str">
        <f>IF($C188&lt;&gt;"",VLOOKUP($C188,授業リスト!$A:$J,7,FALSE),"")</f>
        <v/>
      </c>
      <c r="K188" s="30" t="str">
        <f>IF($C188&lt;&gt;"",VLOOKUP($C188,授業リスト!$A:$J,9,FALSE),"")</f>
        <v/>
      </c>
      <c r="L188" s="4">
        <v>2</v>
      </c>
      <c r="M188" s="34"/>
      <c r="N188" s="34"/>
      <c r="O188" s="34"/>
      <c r="P188" s="34" t="s">
        <v>750</v>
      </c>
      <c r="Q188" s="34" t="s">
        <v>943</v>
      </c>
      <c r="R188" s="2"/>
    </row>
    <row r="189" spans="1:18">
      <c r="A189">
        <v>4</v>
      </c>
      <c r="B189" t="s">
        <v>47</v>
      </c>
      <c r="C189" s="87">
        <v>37492</v>
      </c>
      <c r="D189" t="str">
        <f>IF($C189&lt;&gt;"",VLOOKUP($C189,授業リスト!$A:$J,2,FALSE),"")</f>
        <v>Special Research in English Education</v>
      </c>
      <c r="E189">
        <f>IF($C189&lt;&gt;"",VLOOKUP($C189,授業リスト!$A:$J,3,FALSE),"")</f>
        <v>0</v>
      </c>
      <c r="F189" t="str">
        <f>IF($C189&lt;&gt;"",VLOOKUP($C189,授業リスト!$A:$J,8,FALSE),"")</f>
        <v>Lewis Carroll</v>
      </c>
      <c r="G189">
        <f>IF($C189&lt;&gt;"",VLOOKUP($C189,授業リスト!$A:$J,4,FALSE),"")</f>
        <v>2</v>
      </c>
      <c r="H189" t="str">
        <f>IF($C189&lt;&gt;"",VLOOKUP($C189,授業リスト!$A:$J,5,FALSE),"")</f>
        <v>後</v>
      </c>
      <c r="I189" t="str">
        <f>IF($C189&lt;&gt;"",VLOOKUP($C189,授業リスト!$A:$J,6,FALSE),"")</f>
        <v>金</v>
      </c>
      <c r="J189">
        <f>IF($C189&lt;&gt;"",VLOOKUP($C189,授業リスト!$A:$J,7,FALSE),"")</f>
        <v>2</v>
      </c>
      <c r="K189" s="30">
        <f>IF($C189&lt;&gt;"",VLOOKUP($C189,授業リスト!$A:$J,9,FALSE),"")</f>
        <v>4</v>
      </c>
      <c r="L189" s="4">
        <v>3</v>
      </c>
      <c r="M189" s="34"/>
      <c r="N189" s="34"/>
      <c r="O189" s="34"/>
      <c r="P189" s="34"/>
      <c r="Q189" s="34"/>
      <c r="R189" s="2"/>
    </row>
    <row r="190" spans="1:18" ht="75">
      <c r="A190">
        <v>4</v>
      </c>
      <c r="B190" t="s">
        <v>47</v>
      </c>
      <c r="C190" s="87"/>
      <c r="D190" t="str">
        <f>IF($C190&lt;&gt;"",VLOOKUP($C190,授業リスト!$A:$J,2,FALSE),"")</f>
        <v/>
      </c>
      <c r="E190" t="str">
        <f>IF($C190&lt;&gt;"",VLOOKUP($C190,授業リスト!$A:$J,3,FALSE),"")</f>
        <v/>
      </c>
      <c r="F190" t="str">
        <f>IF($C190&lt;&gt;"",VLOOKUP($C190,授業リスト!$A:$J,8,FALSE),"")</f>
        <v/>
      </c>
      <c r="H190" t="str">
        <f>IF($C190&lt;&gt;"",VLOOKUP($C190,授業リスト!$A:$J,5,FALSE),"")</f>
        <v/>
      </c>
      <c r="I190" t="str">
        <f>IF($C190&lt;&gt;"",VLOOKUP($C190,授業リスト!$A:$J,6,FALSE),"")</f>
        <v/>
      </c>
      <c r="J190" t="str">
        <f>IF($C190&lt;&gt;"",VLOOKUP($C190,授業リスト!$A:$J,7,FALSE),"")</f>
        <v/>
      </c>
      <c r="K190" s="30" t="str">
        <f>IF($C190&lt;&gt;"",VLOOKUP($C190,授業リスト!$A:$J,9,FALSE),"")</f>
        <v/>
      </c>
      <c r="L190" s="4">
        <v>4</v>
      </c>
      <c r="M190" s="34"/>
      <c r="N190" s="34" t="s">
        <v>934</v>
      </c>
      <c r="O190" s="34"/>
      <c r="P190" s="34"/>
      <c r="Q190" s="34"/>
      <c r="R190" s="2"/>
    </row>
    <row r="191" spans="1:18">
      <c r="A191">
        <v>4</v>
      </c>
      <c r="B191" t="s">
        <v>47</v>
      </c>
      <c r="C191" s="87">
        <v>37480</v>
      </c>
      <c r="D191" t="str">
        <f>IF($C191&lt;&gt;"",VLOOKUP($C191,授業リスト!$A:$J,2,FALSE),"")</f>
        <v>English Communication Studies Exercises II</v>
      </c>
      <c r="E191">
        <f>IF($C191&lt;&gt;"",VLOOKUP($C191,授業リスト!$A:$J,3,FALSE),"")</f>
        <v>0</v>
      </c>
      <c r="F191" t="str">
        <f>IF($C191&lt;&gt;"",VLOOKUP($C191,授業リスト!$A:$J,8,FALSE),"")</f>
        <v>Alexander Graham Bell</v>
      </c>
      <c r="G191">
        <f>IF($C191&lt;&gt;"",VLOOKUP($C191,授業リスト!$A:$J,4,FALSE),"")</f>
        <v>2</v>
      </c>
      <c r="H191" t="str">
        <f>IF($C191&lt;&gt;"",VLOOKUP($C191,授業リスト!$A:$J,5,FALSE),"")</f>
        <v>後</v>
      </c>
      <c r="I191" t="str">
        <f>IF($C191&lt;&gt;"",VLOOKUP($C191,授業リスト!$A:$J,6,FALSE),"")</f>
        <v>火</v>
      </c>
      <c r="J191">
        <f>IF($C191&lt;&gt;"",VLOOKUP($C191,授業リスト!$A:$J,7,FALSE),"")</f>
        <v>4</v>
      </c>
      <c r="K191" s="30" t="str">
        <f>IF($C191&lt;&gt;"",VLOOKUP($C191,授業リスト!$A:$J,9,FALSE),"")</f>
        <v>3～4</v>
      </c>
      <c r="L191" s="4">
        <v>5</v>
      </c>
      <c r="M191" s="34"/>
      <c r="N191" s="34"/>
      <c r="O191" s="34"/>
      <c r="P191" s="34"/>
      <c r="Q191" s="34"/>
      <c r="R191" s="2"/>
    </row>
    <row r="192" spans="1:18">
      <c r="A192">
        <v>4</v>
      </c>
      <c r="B192" t="s">
        <v>47</v>
      </c>
      <c r="C192" s="87"/>
      <c r="D192" t="str">
        <f>IF($C192&lt;&gt;"",VLOOKUP($C192,授業リスト!$A:$J,2,FALSE),"")</f>
        <v/>
      </c>
      <c r="E192" t="str">
        <f>IF($C192&lt;&gt;"",VLOOKUP($C192,授業リスト!$A:$J,3,FALSE),"")</f>
        <v/>
      </c>
      <c r="F192" t="str">
        <f>IF($C192&lt;&gt;"",VLOOKUP($C192,授業リスト!$A:$J,8,FALSE),"")</f>
        <v/>
      </c>
      <c r="G192" t="str">
        <f>IF($C192&lt;&gt;"",VLOOKUP($C192,授業リスト!$A:$J,4,FALSE),"")</f>
        <v/>
      </c>
      <c r="H192" t="str">
        <f>IF($C192&lt;&gt;"",VLOOKUP($C192,授業リスト!$A:$J,5,FALSE),"")</f>
        <v/>
      </c>
      <c r="I192" t="str">
        <f>IF($C192&lt;&gt;"",VLOOKUP($C192,授業リスト!$A:$J,6,FALSE),"")</f>
        <v/>
      </c>
      <c r="J192" t="str">
        <f>IF($C192&lt;&gt;"",VLOOKUP($C192,授業リスト!$A:$J,7,FALSE),"")</f>
        <v/>
      </c>
      <c r="K192" s="30" t="str">
        <f>IF($C192&lt;&gt;"",VLOOKUP($C192,授業リスト!$A:$J,9,FALSE),"")</f>
        <v/>
      </c>
      <c r="L192" s="4">
        <v>6</v>
      </c>
      <c r="M192" s="34"/>
      <c r="N192" s="34"/>
      <c r="O192" s="34"/>
      <c r="P192" s="34"/>
      <c r="Q192" s="34"/>
      <c r="R192" s="2"/>
    </row>
    <row r="193" spans="1:18">
      <c r="A193">
        <v>4</v>
      </c>
      <c r="B193" t="s">
        <v>47</v>
      </c>
      <c r="C193" s="87"/>
      <c r="D193" t="str">
        <f>IF($C193&lt;&gt;"",VLOOKUP($C193,授業リスト!$A:$J,2,FALSE),"")</f>
        <v/>
      </c>
      <c r="E193" t="str">
        <f>IF($C193&lt;&gt;"",VLOOKUP($C193,授業リスト!$A:$J,3,FALSE),"")</f>
        <v/>
      </c>
      <c r="F193" t="str">
        <f>IF($C193&lt;&gt;"",VLOOKUP($C193,授業リスト!$A:$J,8,FALSE),"")</f>
        <v/>
      </c>
      <c r="G193" t="str">
        <f>IF($C193&lt;&gt;"",VLOOKUP($C193,授業リスト!$A:$J,4,FALSE),"")</f>
        <v/>
      </c>
      <c r="H193" t="str">
        <f>IF($C193&lt;&gt;"",VLOOKUP($C193,授業リスト!$A:$J,5,FALSE),"")</f>
        <v/>
      </c>
      <c r="I193" t="str">
        <f>IF($C193&lt;&gt;"",VLOOKUP($C193,授業リスト!$A:$J,6,FALSE),"")</f>
        <v/>
      </c>
      <c r="J193" t="str">
        <f>IF($C193&lt;&gt;"",VLOOKUP($C193,授業リスト!$A:$J,7,FALSE),"")</f>
        <v/>
      </c>
      <c r="K193" s="30" t="str">
        <f>IF($C193&lt;&gt;"",VLOOKUP($C193,授業リスト!$A:$J,9,FALSE),"")</f>
        <v/>
      </c>
      <c r="L193" s="4" t="s">
        <v>1160</v>
      </c>
      <c r="M193" s="102" t="s">
        <v>673</v>
      </c>
      <c r="N193" s="103"/>
      <c r="O193" s="103"/>
      <c r="P193" s="103"/>
      <c r="Q193" s="104"/>
      <c r="R193" s="2"/>
    </row>
    <row r="194" spans="1:18">
      <c r="A194">
        <v>4</v>
      </c>
      <c r="B194" t="s">
        <v>47</v>
      </c>
      <c r="C194" s="87"/>
      <c r="D194" t="str">
        <f>IF($C194&lt;&gt;"",VLOOKUP($C194,授業リスト!$A:$J,2,FALSE),"")</f>
        <v/>
      </c>
      <c r="E194" t="str">
        <f>IF($C194&lt;&gt;"",VLOOKUP($C194,授業リスト!$A:$J,3,FALSE),"")</f>
        <v/>
      </c>
      <c r="F194" t="str">
        <f>IF($C194&lt;&gt;"",VLOOKUP($C194,授業リスト!$A:$J,8,FALSE),"")</f>
        <v/>
      </c>
      <c r="G194" t="str">
        <f>IF($C194&lt;&gt;"",VLOOKUP($C194,授業リスト!$A:$J,4,FALSE),"")</f>
        <v/>
      </c>
      <c r="H194" t="str">
        <f>IF($C194&lt;&gt;"",VLOOKUP($C194,授業リスト!$A:$J,5,FALSE),"")</f>
        <v/>
      </c>
      <c r="I194" t="str">
        <f>IF($C194&lt;&gt;"",VLOOKUP($C194,授業リスト!$A:$J,6,FALSE),"")</f>
        <v/>
      </c>
      <c r="J194" t="str">
        <f>IF($C194&lt;&gt;"",VLOOKUP($C194,授業リスト!$A:$J,7,FALSE),"")</f>
        <v/>
      </c>
      <c r="K194" s="30" t="str">
        <f>IF($C194&lt;&gt;"",VLOOKUP($C194,授業リスト!$A:$J,9,FALSE),"")</f>
        <v/>
      </c>
      <c r="L194" s="15"/>
      <c r="M194" s="15"/>
      <c r="N194" s="15"/>
      <c r="O194" s="15"/>
      <c r="P194" s="15"/>
      <c r="Q194" s="15"/>
    </row>
    <row r="195" spans="1:18">
      <c r="A195">
        <v>4</v>
      </c>
      <c r="B195" t="s">
        <v>47</v>
      </c>
      <c r="C195" s="87"/>
      <c r="D195" t="str">
        <f>IF($C195&lt;&gt;"",VLOOKUP($C195,授業リスト!$A:$J,2,FALSE),"")</f>
        <v/>
      </c>
      <c r="E195" t="str">
        <f>IF($C195&lt;&gt;"",VLOOKUP($C195,授業リスト!$A:$J,3,FALSE),"")</f>
        <v/>
      </c>
      <c r="F195" t="str">
        <f>IF($C195&lt;&gt;"",VLOOKUP($C195,授業リスト!$A:$J,8,FALSE),"")</f>
        <v/>
      </c>
      <c r="G195" t="str">
        <f>IF($C195&lt;&gt;"",VLOOKUP($C195,授業リスト!$A:$J,4,FALSE),"")</f>
        <v/>
      </c>
      <c r="H195" t="str">
        <f>IF($C195&lt;&gt;"",VLOOKUP($C195,授業リスト!$A:$J,5,FALSE),"")</f>
        <v/>
      </c>
      <c r="I195" t="str">
        <f>IF($C195&lt;&gt;"",VLOOKUP($C195,授業リスト!$A:$J,6,FALSE),"")</f>
        <v/>
      </c>
      <c r="J195" t="str">
        <f>IF($C195&lt;&gt;"",VLOOKUP($C195,授業リスト!$A:$J,7,FALSE),"")</f>
        <v/>
      </c>
      <c r="K195" s="30" t="str">
        <f>IF($C195&lt;&gt;"",VLOOKUP($C195,授業リスト!$A:$J,9,FALSE),"")</f>
        <v/>
      </c>
      <c r="L195" s="15"/>
      <c r="M195" s="15"/>
      <c r="N195" s="15"/>
      <c r="O195" s="15"/>
      <c r="P195" s="15"/>
      <c r="Q195" s="15"/>
    </row>
    <row r="196" spans="1:18">
      <c r="A196">
        <v>4</v>
      </c>
      <c r="B196" t="s">
        <v>47</v>
      </c>
      <c r="C196" s="87"/>
      <c r="D196" t="str">
        <f>IF($C196&lt;&gt;"",VLOOKUP($C196,授業リスト!$A:$J,2,FALSE),"")</f>
        <v/>
      </c>
      <c r="E196" t="str">
        <f>IF($C196&lt;&gt;"",VLOOKUP($C196,授業リスト!$A:$J,3,FALSE),"")</f>
        <v/>
      </c>
      <c r="F196" t="str">
        <f>IF($C196&lt;&gt;"",VLOOKUP($C196,授業リスト!$A:$J,8,FALSE),"")</f>
        <v/>
      </c>
      <c r="G196" t="str">
        <f>IF($C196&lt;&gt;"",VLOOKUP($C196,授業リスト!$A:$J,4,FALSE),"")</f>
        <v/>
      </c>
      <c r="H196" t="str">
        <f>IF($C196&lt;&gt;"",VLOOKUP($C196,授業リスト!$A:$J,5,FALSE),"")</f>
        <v/>
      </c>
      <c r="I196" t="str">
        <f>IF($C196&lt;&gt;"",VLOOKUP($C196,授業リスト!$A:$J,6,FALSE),"")</f>
        <v/>
      </c>
      <c r="J196" t="str">
        <f>IF($C196&lt;&gt;"",VLOOKUP($C196,授業リスト!$A:$J,7,FALSE),"")</f>
        <v/>
      </c>
      <c r="K196" s="30" t="str">
        <f>IF($C196&lt;&gt;"",VLOOKUP($C196,授業リスト!$A:$J,9,FALSE),"")</f>
        <v/>
      </c>
      <c r="L196" s="15"/>
      <c r="M196" s="15"/>
      <c r="N196" s="15"/>
      <c r="O196" s="15"/>
      <c r="P196" s="15"/>
      <c r="Q196" s="15"/>
    </row>
    <row r="197" spans="1:18">
      <c r="A197">
        <v>4</v>
      </c>
      <c r="B197" t="s">
        <v>47</v>
      </c>
      <c r="C197" s="87"/>
      <c r="D197" t="str">
        <f>IF($C197&lt;&gt;"",VLOOKUP($C197,授業リスト!$A:$J,2,FALSE),"")</f>
        <v/>
      </c>
      <c r="E197" t="str">
        <f>IF($C197&lt;&gt;"",VLOOKUP($C197,授業リスト!$A:$J,3,FALSE),"")</f>
        <v/>
      </c>
      <c r="F197" t="str">
        <f>IF($C197&lt;&gt;"",VLOOKUP($C197,授業リスト!$A:$J,8,FALSE),"")</f>
        <v/>
      </c>
      <c r="G197" t="str">
        <f>IF($C197&lt;&gt;"",VLOOKUP($C197,授業リスト!$A:$J,4,FALSE),"")</f>
        <v/>
      </c>
      <c r="H197" t="str">
        <f>IF($C197&lt;&gt;"",VLOOKUP($C197,授業リスト!$A:$J,5,FALSE),"")</f>
        <v/>
      </c>
      <c r="I197" t="str">
        <f>IF($C197&lt;&gt;"",VLOOKUP($C197,授業リスト!$A:$J,6,FALSE),"")</f>
        <v/>
      </c>
      <c r="J197" t="str">
        <f>IF($C197&lt;&gt;"",VLOOKUP($C197,授業リスト!$A:$J,7,FALSE),"")</f>
        <v/>
      </c>
      <c r="K197" s="30" t="str">
        <f>IF($C197&lt;&gt;"",VLOOKUP($C197,授業リスト!$A:$J,9,FALSE),"")</f>
        <v/>
      </c>
      <c r="L197" s="15"/>
      <c r="M197" s="15"/>
      <c r="N197" s="15"/>
      <c r="O197" s="15"/>
      <c r="P197" s="15"/>
      <c r="Q197" s="15"/>
    </row>
    <row r="198" spans="1:18">
      <c r="A198">
        <v>4</v>
      </c>
      <c r="B198" t="s">
        <v>47</v>
      </c>
      <c r="C198" s="87"/>
      <c r="D198" t="str">
        <f>IF($C198&lt;&gt;"",VLOOKUP($C198,授業リスト!$A:$J,2,FALSE),"")</f>
        <v/>
      </c>
      <c r="E198" t="str">
        <f>IF($C198&lt;&gt;"",VLOOKUP($C198,授業リスト!$A:$J,3,FALSE),"")</f>
        <v/>
      </c>
      <c r="F198" t="str">
        <f>IF($C198&lt;&gt;"",VLOOKUP($C198,授業リスト!$A:$J,8,FALSE),"")</f>
        <v/>
      </c>
      <c r="G198" t="str">
        <f>IF($C198&lt;&gt;"",VLOOKUP($C198,授業リスト!$A:$J,4,FALSE),"")</f>
        <v/>
      </c>
      <c r="H198" t="str">
        <f>IF($C198&lt;&gt;"",VLOOKUP($C198,授業リスト!$A:$J,5,FALSE),"")</f>
        <v/>
      </c>
      <c r="I198" t="str">
        <f>IF($C198&lt;&gt;"",VLOOKUP($C198,授業リスト!$A:$J,6,FALSE),"")</f>
        <v/>
      </c>
      <c r="J198" t="str">
        <f>IF($C198&lt;&gt;"",VLOOKUP($C198,授業リスト!$A:$J,7,FALSE),"")</f>
        <v/>
      </c>
      <c r="K198" s="30" t="str">
        <f>IF($C198&lt;&gt;"",VLOOKUP($C198,授業リスト!$A:$J,9,FALSE),"")</f>
        <v/>
      </c>
      <c r="L198" s="15"/>
      <c r="M198" s="15"/>
      <c r="N198" s="15"/>
      <c r="O198" s="15"/>
      <c r="P198" s="15"/>
      <c r="Q198" s="15"/>
    </row>
    <row r="199" spans="1:18">
      <c r="A199">
        <v>4</v>
      </c>
      <c r="B199" t="s">
        <v>47</v>
      </c>
      <c r="C199" s="87"/>
      <c r="D199" t="str">
        <f>IF($C199&lt;&gt;"",VLOOKUP($C199,授業リスト!$A:$J,2,FALSE),"")</f>
        <v/>
      </c>
      <c r="E199" t="str">
        <f>IF($C199&lt;&gt;"",VLOOKUP($C199,授業リスト!$A:$J,3,FALSE),"")</f>
        <v/>
      </c>
      <c r="F199" t="str">
        <f>IF($C199&lt;&gt;"",VLOOKUP($C199,授業リスト!$A:$J,8,FALSE),"")</f>
        <v/>
      </c>
      <c r="G199" t="str">
        <f>IF($C199&lt;&gt;"",VLOOKUP($C199,授業リスト!$A:$J,4,FALSE),"")</f>
        <v/>
      </c>
      <c r="H199" t="str">
        <f>IF($C199&lt;&gt;"",VLOOKUP($C199,授業リスト!$A:$J,5,FALSE),"")</f>
        <v/>
      </c>
      <c r="I199" t="str">
        <f>IF($C199&lt;&gt;"",VLOOKUP($C199,授業リスト!$A:$J,6,FALSE),"")</f>
        <v/>
      </c>
      <c r="J199" t="str">
        <f>IF($C199&lt;&gt;"",VLOOKUP($C199,授業リスト!$A:$J,7,FALSE),"")</f>
        <v/>
      </c>
      <c r="K199" s="30" t="str">
        <f>IF($C199&lt;&gt;"",VLOOKUP($C199,授業リスト!$A:$J,9,FALSE),"")</f>
        <v/>
      </c>
      <c r="L199" s="15"/>
      <c r="M199" s="15"/>
      <c r="N199" s="15"/>
      <c r="O199" s="15"/>
      <c r="P199" s="15"/>
      <c r="Q199" s="15"/>
    </row>
    <row r="200" spans="1:18">
      <c r="A200">
        <v>4</v>
      </c>
      <c r="B200" t="s">
        <v>47</v>
      </c>
      <c r="C200" s="87"/>
      <c r="D200" t="str">
        <f>IF($C200&lt;&gt;"",VLOOKUP($C200,授業リスト!$A:$J,2,FALSE),"")</f>
        <v/>
      </c>
      <c r="E200" t="str">
        <f>IF($C200&lt;&gt;"",VLOOKUP($C200,授業リスト!$A:$J,3,FALSE),"")</f>
        <v/>
      </c>
      <c r="F200" t="str">
        <f>IF($C200&lt;&gt;"",VLOOKUP($C200,授業リスト!$A:$J,8,FALSE),"")</f>
        <v/>
      </c>
      <c r="G200" t="str">
        <f>IF($C200&lt;&gt;"",VLOOKUP($C200,授業リスト!$A:$J,4,FALSE),"")</f>
        <v/>
      </c>
      <c r="H200" t="str">
        <f>IF($C200&lt;&gt;"",VLOOKUP($C200,授業リスト!$A:$J,5,FALSE),"")</f>
        <v/>
      </c>
      <c r="I200" t="str">
        <f>IF($C200&lt;&gt;"",VLOOKUP($C200,授業リスト!$A:$J,6,FALSE),"")</f>
        <v/>
      </c>
      <c r="J200" t="str">
        <f>IF($C200&lt;&gt;"",VLOOKUP($C200,授業リスト!$A:$J,7,FALSE),"")</f>
        <v/>
      </c>
      <c r="K200" s="30" t="str">
        <f>IF($C200&lt;&gt;"",VLOOKUP($C200,授業リスト!$A:$J,9,FALSE),"")</f>
        <v/>
      </c>
      <c r="L200" s="15"/>
      <c r="M200" s="15"/>
      <c r="N200" s="15"/>
      <c r="O200" s="15"/>
      <c r="P200" s="15"/>
      <c r="Q200" s="15"/>
    </row>
    <row r="201" spans="1:18">
      <c r="A201">
        <v>4</v>
      </c>
      <c r="B201" t="s">
        <v>47</v>
      </c>
      <c r="C201" s="87"/>
      <c r="D201" t="str">
        <f>IF($C201&lt;&gt;"",VLOOKUP($C201,授業リスト!$A:$J,2,FALSE),"")</f>
        <v/>
      </c>
      <c r="E201" t="str">
        <f>IF($C201&lt;&gt;"",VLOOKUP($C201,授業リスト!$A:$J,3,FALSE),"")</f>
        <v/>
      </c>
      <c r="F201" t="str">
        <f>IF($C201&lt;&gt;"",VLOOKUP($C201,授業リスト!$A:$J,8,FALSE),"")</f>
        <v/>
      </c>
      <c r="G201" t="str">
        <f>IF($C201&lt;&gt;"",VLOOKUP($C201,授業リスト!$A:$J,4,FALSE),"")</f>
        <v/>
      </c>
      <c r="H201" t="str">
        <f>IF($C201&lt;&gt;"",VLOOKUP($C201,授業リスト!$A:$J,5,FALSE),"")</f>
        <v/>
      </c>
      <c r="I201" t="str">
        <f>IF($C201&lt;&gt;"",VLOOKUP($C201,授業リスト!$A:$J,6,FALSE),"")</f>
        <v/>
      </c>
      <c r="J201" t="str">
        <f>IF($C201&lt;&gt;"",VLOOKUP($C201,授業リスト!$A:$J,7,FALSE),"")</f>
        <v/>
      </c>
      <c r="K201" s="30" t="str">
        <f>IF($C201&lt;&gt;"",VLOOKUP($C201,授業リスト!$A:$J,9,FALSE),"")</f>
        <v/>
      </c>
      <c r="L201" s="15"/>
      <c r="M201" s="15"/>
      <c r="N201" s="15"/>
      <c r="O201" s="15"/>
      <c r="P201" s="15"/>
      <c r="Q201" s="15"/>
    </row>
    <row r="202" spans="1:18">
      <c r="A202">
        <v>4</v>
      </c>
      <c r="B202" t="s">
        <v>47</v>
      </c>
      <c r="C202" s="87"/>
      <c r="D202" t="str">
        <f>IF($C202&lt;&gt;"",VLOOKUP($C202,授業リスト!$A:$J,2,FALSE),"")</f>
        <v/>
      </c>
      <c r="E202" t="str">
        <f>IF($C202&lt;&gt;"",VLOOKUP($C202,授業リスト!$A:$J,3,FALSE),"")</f>
        <v/>
      </c>
      <c r="F202" t="str">
        <f>IF($C202&lt;&gt;"",VLOOKUP($C202,授業リスト!$A:$J,8,FALSE),"")</f>
        <v/>
      </c>
      <c r="G202" t="str">
        <f>IF($C202&lt;&gt;"",VLOOKUP($C202,授業リスト!$A:$J,4,FALSE),"")</f>
        <v/>
      </c>
      <c r="H202" t="str">
        <f>IF($C202&lt;&gt;"",VLOOKUP($C202,授業リスト!$A:$J,5,FALSE),"")</f>
        <v/>
      </c>
      <c r="I202" t="str">
        <f>IF($C202&lt;&gt;"",VLOOKUP($C202,授業リスト!$A:$J,6,FALSE),"")</f>
        <v/>
      </c>
      <c r="J202" t="str">
        <f>IF($C202&lt;&gt;"",VLOOKUP($C202,授業リスト!$A:$J,7,FALSE),"")</f>
        <v/>
      </c>
      <c r="K202" s="30" t="str">
        <f>IF($C202&lt;&gt;"",VLOOKUP($C202,授業リスト!$A:$J,9,FALSE),"")</f>
        <v/>
      </c>
      <c r="L202" s="15"/>
      <c r="M202" s="15"/>
      <c r="N202" s="15"/>
      <c r="O202" s="15"/>
      <c r="P202" s="15"/>
      <c r="Q202" s="15"/>
    </row>
    <row r="203" spans="1:18">
      <c r="A203">
        <v>4</v>
      </c>
      <c r="B203" t="s">
        <v>47</v>
      </c>
      <c r="C203" s="87"/>
      <c r="D203" t="str">
        <f>IF($C203&lt;&gt;"",VLOOKUP($C203,授業リスト!$A:$J,2,FALSE),"")</f>
        <v/>
      </c>
      <c r="E203" t="str">
        <f>IF($C203&lt;&gt;"",VLOOKUP($C203,授業リスト!$A:$J,3,FALSE),"")</f>
        <v/>
      </c>
      <c r="F203" t="str">
        <f>IF($C203&lt;&gt;"",VLOOKUP($C203,授業リスト!$A:$J,8,FALSE),"")</f>
        <v/>
      </c>
      <c r="G203" t="str">
        <f>IF($C203&lt;&gt;"",VLOOKUP($C203,授業リスト!$A:$J,4,FALSE),"")</f>
        <v/>
      </c>
      <c r="H203" t="str">
        <f>IF($C203&lt;&gt;"",VLOOKUP($C203,授業リスト!$A:$J,5,FALSE),"")</f>
        <v/>
      </c>
      <c r="I203" t="str">
        <f>IF($C203&lt;&gt;"",VLOOKUP($C203,授業リスト!$A:$J,6,FALSE),"")</f>
        <v/>
      </c>
      <c r="J203" t="str">
        <f>IF($C203&lt;&gt;"",VLOOKUP($C203,授業リスト!$A:$J,7,FALSE),"")</f>
        <v/>
      </c>
      <c r="K203" s="30" t="str">
        <f>IF($C203&lt;&gt;"",VLOOKUP($C203,授業リスト!$A:$J,9,FALSE),"")</f>
        <v/>
      </c>
      <c r="L203" s="15"/>
      <c r="M203" s="15"/>
      <c r="N203" s="15"/>
      <c r="O203" s="15"/>
      <c r="P203" s="15"/>
      <c r="Q203" s="15"/>
    </row>
    <row r="204" spans="1:18" ht="21">
      <c r="A204">
        <v>4</v>
      </c>
      <c r="B204" t="s">
        <v>47</v>
      </c>
      <c r="C204" s="87"/>
      <c r="D204" t="str">
        <f>IF($C204&lt;&gt;"",VLOOKUP($C204,授業リスト!$A:$J,2,FALSE),"")</f>
        <v/>
      </c>
      <c r="E204" t="str">
        <f>IF($C204&lt;&gt;"",VLOOKUP($C204,授業リスト!$A:$J,3,FALSE),"")</f>
        <v/>
      </c>
      <c r="F204" t="str">
        <f>IF($C204&lt;&gt;"",VLOOKUP($C204,授業リスト!$A:$J,8,FALSE),"")</f>
        <v/>
      </c>
      <c r="G204" t="str">
        <f>IF($C204&lt;&gt;"",VLOOKUP($C204,授業リスト!$A:$J,4,FALSE),"")</f>
        <v/>
      </c>
      <c r="H204" t="str">
        <f>IF($C204&lt;&gt;"",VLOOKUP($C204,授業リスト!$A:$J,5,FALSE),"")</f>
        <v/>
      </c>
      <c r="I204" t="str">
        <f>IF($C204&lt;&gt;"",VLOOKUP($C204,授業リスト!$A:$J,6,FALSE),"")</f>
        <v/>
      </c>
      <c r="J204" t="str">
        <f>IF($C204&lt;&gt;"",VLOOKUP($C204,授業リスト!$A:$J,7,FALSE),"")</f>
        <v/>
      </c>
      <c r="K204" s="30" t="str">
        <f>IF($C204&lt;&gt;"",VLOOKUP($C204,授業リスト!$A:$J,9,FALSE),"")</f>
        <v/>
      </c>
      <c r="L204" s="15"/>
      <c r="M204" s="24" t="s">
        <v>1113</v>
      </c>
    </row>
    <row r="205" spans="1:18" ht="18" thickBot="1">
      <c r="A205">
        <v>4</v>
      </c>
      <c r="B205" t="s">
        <v>47</v>
      </c>
      <c r="C205" s="87"/>
      <c r="D205" t="str">
        <f>IF($C205&lt;&gt;"",VLOOKUP($C205,授業リスト!$A:$J,2,FALSE),"")</f>
        <v/>
      </c>
      <c r="E205" t="str">
        <f>IF($C205&lt;&gt;"",VLOOKUP($C205,授業リスト!$A:$J,3,FALSE),"")</f>
        <v/>
      </c>
      <c r="F205" t="str">
        <f>IF($C205&lt;&gt;"",VLOOKUP($C205,授業リスト!$A:$J,8,FALSE),"")</f>
        <v/>
      </c>
      <c r="G205" t="str">
        <f>IF($C205&lt;&gt;"",VLOOKUP($C205,授業リスト!$A:$J,4,FALSE),"")</f>
        <v/>
      </c>
      <c r="H205" t="str">
        <f>IF($C205&lt;&gt;"",VLOOKUP($C205,授業リスト!$A:$J,5,FALSE),"")</f>
        <v/>
      </c>
      <c r="I205" t="str">
        <f>IF($C205&lt;&gt;"",VLOOKUP($C205,授業リスト!$A:$J,6,FALSE),"")</f>
        <v/>
      </c>
      <c r="J205" t="str">
        <f>IF($C205&lt;&gt;"",VLOOKUP($C205,授業リスト!$A:$J,7,FALSE),"")</f>
        <v/>
      </c>
      <c r="K205" s="30" t="str">
        <f>IF($C205&lt;&gt;"",VLOOKUP($C205,授業リスト!$A:$J,9,FALSE),"")</f>
        <v/>
      </c>
      <c r="L205" s="15"/>
    </row>
    <row r="206" spans="1:18" ht="18" thickBot="1">
      <c r="A206">
        <v>4</v>
      </c>
      <c r="B206" t="s">
        <v>47</v>
      </c>
      <c r="C206" s="87"/>
      <c r="D206" t="str">
        <f>IF($C206&lt;&gt;"",VLOOKUP($C206,授業リスト!$A:$J,2,FALSE),"")</f>
        <v/>
      </c>
      <c r="E206" t="str">
        <f>IF($C206&lt;&gt;"",VLOOKUP($C206,授業リスト!$A:$J,3,FALSE),"")</f>
        <v/>
      </c>
      <c r="F206" t="str">
        <f>IF($C206&lt;&gt;"",VLOOKUP($C206,授業リスト!$A:$J,8,FALSE),"")</f>
        <v/>
      </c>
      <c r="G206" t="str">
        <f>IF($C206&lt;&gt;"",VLOOKUP($C206,授業リスト!$A:$J,4,FALSE),"")</f>
        <v/>
      </c>
      <c r="H206" t="str">
        <f>IF($C206&lt;&gt;"",VLOOKUP($C206,授業リスト!$A:$J,5,FALSE),"")</f>
        <v/>
      </c>
      <c r="I206" t="str">
        <f>IF($C206&lt;&gt;"",VLOOKUP($C206,授業リスト!$A:$J,6,FALSE),"")</f>
        <v/>
      </c>
      <c r="J206" t="str">
        <f>IF($C206&lt;&gt;"",VLOOKUP($C206,授業リスト!$A:$J,7,FALSE),"")</f>
        <v/>
      </c>
      <c r="K206" s="30" t="str">
        <f>IF($C206&lt;&gt;"",VLOOKUP($C206,授業リスト!$A:$J,9,FALSE),"")</f>
        <v/>
      </c>
      <c r="L206" s="15"/>
      <c r="M206" s="25"/>
      <c r="N206" s="26"/>
    </row>
    <row r="207" spans="1:18">
      <c r="A207">
        <v>4</v>
      </c>
      <c r="B207" t="s">
        <v>47</v>
      </c>
      <c r="C207" s="87"/>
      <c r="D207" t="str">
        <f>IF($C207&lt;&gt;"",VLOOKUP($C207,授業リスト!$A:$J,2,FALSE),"")</f>
        <v/>
      </c>
      <c r="E207" t="str">
        <f>IF($C207&lt;&gt;"",VLOOKUP($C207,授業リスト!$A:$J,3,FALSE),"")</f>
        <v/>
      </c>
      <c r="F207" t="str">
        <f>IF($C207&lt;&gt;"",VLOOKUP($C207,授業リスト!$A:$J,8,FALSE),"")</f>
        <v/>
      </c>
      <c r="G207" t="str">
        <f>IF($C207&lt;&gt;"",VLOOKUP($C207,授業リスト!$A:$J,4,FALSE),"")</f>
        <v/>
      </c>
      <c r="H207" t="str">
        <f>IF($C207&lt;&gt;"",VLOOKUP($C207,授業リスト!$A:$J,5,FALSE),"")</f>
        <v/>
      </c>
      <c r="I207" t="str">
        <f>IF($C207&lt;&gt;"",VLOOKUP($C207,授業リスト!$A:$J,6,FALSE),"")</f>
        <v/>
      </c>
      <c r="J207" t="str">
        <f>IF($C207&lt;&gt;"",VLOOKUP($C207,授業リスト!$A:$J,7,FALSE),"")</f>
        <v/>
      </c>
      <c r="K207" s="30" t="str">
        <f>IF($C207&lt;&gt;"",VLOOKUP($C207,授業リスト!$A:$J,9,FALSE),"")</f>
        <v/>
      </c>
      <c r="L207" s="15"/>
    </row>
    <row r="208" spans="1:18">
      <c r="A208">
        <v>4</v>
      </c>
      <c r="B208" t="s">
        <v>47</v>
      </c>
      <c r="C208" s="87"/>
      <c r="D208" t="str">
        <f>IF($C208&lt;&gt;"",VLOOKUP($C208,授業リスト!$A:$J,2,FALSE),"")</f>
        <v/>
      </c>
      <c r="E208" t="str">
        <f>IF($C208&lt;&gt;"",VLOOKUP($C208,授業リスト!$A:$J,3,FALSE),"")</f>
        <v/>
      </c>
      <c r="F208" t="str">
        <f>IF($C208&lt;&gt;"",VLOOKUP($C208,授業リスト!$A:$J,8,FALSE),"")</f>
        <v/>
      </c>
      <c r="G208" t="str">
        <f>IF($C208&lt;&gt;"",VLOOKUP($C208,授業リスト!$A:$J,4,FALSE),"")</f>
        <v/>
      </c>
      <c r="H208" t="str">
        <f>IF($C208&lt;&gt;"",VLOOKUP($C208,授業リスト!$A:$J,5,FALSE),"")</f>
        <v/>
      </c>
      <c r="I208" t="str">
        <f>IF($C208&lt;&gt;"",VLOOKUP($C208,授業リスト!$A:$J,6,FALSE),"")</f>
        <v/>
      </c>
      <c r="J208" t="str">
        <f>IF($C208&lt;&gt;"",VLOOKUP($C208,授業リスト!$A:$J,7,FALSE),"")</f>
        <v/>
      </c>
      <c r="K208" s="30" t="str">
        <f>IF($C208&lt;&gt;"",VLOOKUP($C208,授業リスト!$A:$J,9,FALSE),"")</f>
        <v/>
      </c>
      <c r="L208" s="15"/>
    </row>
    <row r="209" spans="1:18">
      <c r="A209">
        <v>4</v>
      </c>
      <c r="B209" t="s">
        <v>47</v>
      </c>
      <c r="C209" s="87"/>
      <c r="D209" t="str">
        <f>IF($C209&lt;&gt;"",VLOOKUP($C209,授業リスト!$A:$J,2,FALSE),"")</f>
        <v/>
      </c>
      <c r="E209" t="str">
        <f>IF($C209&lt;&gt;"",VLOOKUP($C209,授業リスト!$A:$J,3,FALSE),"")</f>
        <v/>
      </c>
      <c r="F209" t="str">
        <f>IF($C209&lt;&gt;"",VLOOKUP($C209,授業リスト!$A:$J,8,FALSE),"")</f>
        <v/>
      </c>
      <c r="G209" t="str">
        <f>IF($C209&lt;&gt;"",VLOOKUP($C209,授業リスト!$A:$J,4,FALSE),"")</f>
        <v/>
      </c>
      <c r="H209" t="str">
        <f>IF($C209&lt;&gt;"",VLOOKUP($C209,授業リスト!$A:$J,5,FALSE),"")</f>
        <v/>
      </c>
      <c r="I209" t="str">
        <f>IF($C209&lt;&gt;"",VLOOKUP($C209,授業リスト!$A:$J,6,FALSE),"")</f>
        <v/>
      </c>
      <c r="J209" t="str">
        <f>IF($C209&lt;&gt;"",VLOOKUP($C209,授業リスト!$A:$J,7,FALSE),"")</f>
        <v/>
      </c>
      <c r="K209" s="30" t="str">
        <f>IF($C209&lt;&gt;"",VLOOKUP($C209,授業リスト!$A:$J,9,FALSE),"")</f>
        <v/>
      </c>
      <c r="L209" s="15"/>
    </row>
    <row r="210" spans="1:18">
      <c r="A210">
        <v>4</v>
      </c>
      <c r="B210" t="s">
        <v>47</v>
      </c>
      <c r="C210" s="87"/>
      <c r="D210" t="str">
        <f>IF($C210&lt;&gt;"",VLOOKUP($C210,授業リスト!$A:$J,2,FALSE),"")</f>
        <v/>
      </c>
      <c r="E210" t="str">
        <f>IF($C210&lt;&gt;"",VLOOKUP($C210,授業リスト!$A:$J,3,FALSE),"")</f>
        <v/>
      </c>
      <c r="F210" t="str">
        <f>IF($C210&lt;&gt;"",VLOOKUP($C210,授業リスト!$A:$J,8,FALSE),"")</f>
        <v/>
      </c>
      <c r="G210" t="str">
        <f>IF($C210&lt;&gt;"",VLOOKUP($C210,授業リスト!$A:$J,4,FALSE),"")</f>
        <v/>
      </c>
      <c r="H210" t="str">
        <f>IF($C210&lt;&gt;"",VLOOKUP($C210,授業リスト!$A:$J,5,FALSE),"")</f>
        <v/>
      </c>
      <c r="I210" t="str">
        <f>IF($C210&lt;&gt;"",VLOOKUP($C210,授業リスト!$A:$J,6,FALSE),"")</f>
        <v/>
      </c>
      <c r="J210" t="str">
        <f>IF($C210&lt;&gt;"",VLOOKUP($C210,授業リスト!$A:$J,7,FALSE),"")</f>
        <v/>
      </c>
      <c r="K210" s="30" t="str">
        <f>IF($C210&lt;&gt;"",VLOOKUP($C210,授業リスト!$A:$J,9,FALSE),"")</f>
        <v/>
      </c>
      <c r="L210" s="15"/>
      <c r="M210" s="15"/>
      <c r="N210" s="15"/>
      <c r="O210" s="15"/>
      <c r="P210" s="15"/>
      <c r="Q210" s="15"/>
    </row>
    <row r="211" spans="1:18">
      <c r="A211" s="1">
        <v>4</v>
      </c>
      <c r="B211" s="1" t="s">
        <v>47</v>
      </c>
      <c r="C211" s="88"/>
      <c r="D211" s="1" t="str">
        <f>IF($C211&lt;&gt;"",VLOOKUP($C211,授業リスト!$A:$J,2,FALSE),"")</f>
        <v/>
      </c>
      <c r="E211" s="1" t="str">
        <f>IF($C211&lt;&gt;"",VLOOKUP($C211,授業リスト!$A:$J,3,FALSE),"")</f>
        <v/>
      </c>
      <c r="F211" s="1" t="str">
        <f>IF($C211&lt;&gt;"",VLOOKUP($C211,授業リスト!$A:$J,8,FALSE),"")</f>
        <v/>
      </c>
      <c r="G211" s="1" t="str">
        <f>IF($C211&lt;&gt;"",VLOOKUP($C211,授業リスト!$A:$J,4,FALSE),"")</f>
        <v/>
      </c>
      <c r="H211" s="1" t="str">
        <f>IF($C211&lt;&gt;"",VLOOKUP($C211,授業リスト!$A:$J,5,FALSE),"")</f>
        <v/>
      </c>
      <c r="I211" s="1" t="str">
        <f>IF($C211&lt;&gt;"",VLOOKUP($C211,授業リスト!$A:$J,6,FALSE),"")</f>
        <v/>
      </c>
      <c r="J211" s="1" t="str">
        <f>IF($C211&lt;&gt;"",VLOOKUP($C211,授業リスト!$A:$J,7,FALSE),"")</f>
        <v/>
      </c>
      <c r="K211" s="31" t="str">
        <f>IF($C211&lt;&gt;"",VLOOKUP($C211,授業リスト!$A:$J,9,FALSE),"")</f>
        <v/>
      </c>
      <c r="L211" s="15"/>
      <c r="M211" s="15"/>
      <c r="N211" s="15"/>
      <c r="O211" s="15"/>
      <c r="P211" s="15"/>
      <c r="Q211" s="15"/>
    </row>
    <row r="212" spans="1:18" ht="18">
      <c r="A212" s="37">
        <v>5</v>
      </c>
      <c r="B212" s="37" t="s">
        <v>69</v>
      </c>
      <c r="C212" s="85"/>
      <c r="D212" s="37" t="str">
        <f>IF($C212&lt;&gt;"",VLOOKUP($C212,授業リスト!$A:$J,2,FALSE),"")</f>
        <v/>
      </c>
      <c r="E212" s="37" t="str">
        <f>IF($C212&lt;&gt;"",VLOOKUP($C212,授業リスト!$A:$J,3,FALSE),"")</f>
        <v/>
      </c>
      <c r="F212" s="37" t="str">
        <f>IF($C212&lt;&gt;"",VLOOKUP($C212,授業リスト!$A:$J,8,FALSE),"")</f>
        <v/>
      </c>
      <c r="G212" s="37" t="str">
        <f>IF($C212&lt;&gt;"",VLOOKUP($C212,授業リスト!$A:$J,4,FALSE),"")</f>
        <v/>
      </c>
      <c r="H212" s="37" t="str">
        <f>IF($C212&lt;&gt;"",VLOOKUP($C212,授業リスト!$A:$J,5,FALSE),"")</f>
        <v/>
      </c>
      <c r="I212" s="37" t="str">
        <f>IF($C212&lt;&gt;"",VLOOKUP($C212,授業リスト!$A:$J,6,FALSE),"")</f>
        <v/>
      </c>
      <c r="J212" s="37" t="str">
        <f>IF($C212&lt;&gt;"",VLOOKUP($C212,授業リスト!$A:$J,7,FALSE),"")</f>
        <v/>
      </c>
      <c r="K212" s="38" t="str">
        <f>IF($C212&lt;&gt;"",VLOOKUP($C212,授業リスト!$A:$J,9,FALSE),"")</f>
        <v/>
      </c>
      <c r="L212" s="96"/>
      <c r="M212" s="97" t="s">
        <v>1156</v>
      </c>
      <c r="N212" s="98" t="s">
        <v>1155</v>
      </c>
      <c r="O212" s="97" t="s">
        <v>1157</v>
      </c>
      <c r="P212" s="97" t="s">
        <v>1158</v>
      </c>
      <c r="Q212" s="97" t="s">
        <v>1159</v>
      </c>
      <c r="R212" s="96"/>
    </row>
    <row r="213" spans="1:18">
      <c r="A213" s="37">
        <v>5</v>
      </c>
      <c r="B213" s="37" t="s">
        <v>69</v>
      </c>
      <c r="C213" s="85"/>
      <c r="D213" s="37" t="str">
        <f>IF($C213&lt;&gt;"",VLOOKUP($C213,授業リスト!$A:$J,2,FALSE),"")</f>
        <v/>
      </c>
      <c r="E213" s="37" t="str">
        <f>IF($C213&lt;&gt;"",VLOOKUP($C213,授業リスト!$A:$J,3,FALSE),"")</f>
        <v/>
      </c>
      <c r="F213" s="37" t="str">
        <f>IF($C213&lt;&gt;"",VLOOKUP($C213,授業リスト!$A:$J,8,FALSE),"")</f>
        <v/>
      </c>
      <c r="G213" s="37" t="str">
        <f>IF($C213&lt;&gt;"",VLOOKUP($C213,授業リスト!$A:$J,4,FALSE),"")</f>
        <v/>
      </c>
      <c r="H213" s="37" t="str">
        <f>IF($C213&lt;&gt;"",VLOOKUP($C213,授業リスト!$A:$J,5,FALSE),"")</f>
        <v/>
      </c>
      <c r="I213" s="37" t="str">
        <f>IF($C213&lt;&gt;"",VLOOKUP($C213,授業リスト!$A:$J,6,FALSE),"")</f>
        <v/>
      </c>
      <c r="J213" s="37" t="str">
        <f>IF($C213&lt;&gt;"",VLOOKUP($C213,授業リスト!$A:$J,7,FALSE),"")</f>
        <v/>
      </c>
      <c r="K213" s="38" t="str">
        <f>IF($C213&lt;&gt;"",VLOOKUP($C213,授業リスト!$A:$J,9,FALSE),"")</f>
        <v/>
      </c>
      <c r="L213" s="99">
        <v>1</v>
      </c>
      <c r="M213" s="100"/>
      <c r="N213" s="100"/>
      <c r="O213" s="100"/>
      <c r="P213" s="100"/>
      <c r="Q213" s="100"/>
      <c r="R213" s="96"/>
    </row>
    <row r="214" spans="1:18">
      <c r="A214" s="37">
        <v>5</v>
      </c>
      <c r="B214" s="37" t="s">
        <v>69</v>
      </c>
      <c r="C214" s="85"/>
      <c r="D214" s="37" t="str">
        <f>IF($C214&lt;&gt;"",VLOOKUP($C214,授業リスト!$A:$J,2,FALSE),"")</f>
        <v/>
      </c>
      <c r="E214" s="37" t="str">
        <f>IF($C214&lt;&gt;"",VLOOKUP($C214,授業リスト!$A:$J,3,FALSE),"")</f>
        <v/>
      </c>
      <c r="F214" s="37" t="str">
        <f>IF($C214&lt;&gt;"",VLOOKUP($C214,授業リスト!$A:$J,8,FALSE),"")</f>
        <v/>
      </c>
      <c r="G214" s="37" t="str">
        <f>IF($C214&lt;&gt;"",VLOOKUP($C214,授業リスト!$A:$J,4,FALSE),"")</f>
        <v/>
      </c>
      <c r="H214" s="37" t="str">
        <f>IF($C214&lt;&gt;"",VLOOKUP($C214,授業リスト!$A:$J,5,FALSE),"")</f>
        <v/>
      </c>
      <c r="I214" s="37" t="str">
        <f>IF($C214&lt;&gt;"",VLOOKUP($C214,授業リスト!$A:$J,6,FALSE),"")</f>
        <v/>
      </c>
      <c r="J214" s="37" t="str">
        <f>IF($C214&lt;&gt;"",VLOOKUP($C214,授業リスト!$A:$J,7,FALSE),"")</f>
        <v/>
      </c>
      <c r="K214" s="38" t="str">
        <f>IF($C214&lt;&gt;"",VLOOKUP($C214,授業リスト!$A:$J,9,FALSE),"")</f>
        <v/>
      </c>
      <c r="L214" s="99">
        <v>2</v>
      </c>
      <c r="M214" s="100"/>
      <c r="N214" s="100"/>
      <c r="O214" s="100"/>
      <c r="P214" s="100"/>
      <c r="Q214" s="100"/>
      <c r="R214" s="96"/>
    </row>
    <row r="215" spans="1:18">
      <c r="A215" s="37">
        <v>5</v>
      </c>
      <c r="B215" s="37" t="s">
        <v>69</v>
      </c>
      <c r="C215" s="85"/>
      <c r="D215" s="37" t="str">
        <f>IF($C215&lt;&gt;"",VLOOKUP($C215,授業リスト!$A:$J,2,FALSE),"")</f>
        <v/>
      </c>
      <c r="E215" s="37" t="str">
        <f>IF($C215&lt;&gt;"",VLOOKUP($C215,授業リスト!$A:$J,3,FALSE),"")</f>
        <v/>
      </c>
      <c r="F215" s="37" t="str">
        <f>IF($C215&lt;&gt;"",VLOOKUP($C215,授業リスト!$A:$J,8,FALSE),"")</f>
        <v/>
      </c>
      <c r="G215" s="37" t="str">
        <f>IF($C215&lt;&gt;"",VLOOKUP($C215,授業リスト!$A:$J,4,FALSE),"")</f>
        <v/>
      </c>
      <c r="H215" s="37" t="str">
        <f>IF($C215&lt;&gt;"",VLOOKUP($C215,授業リスト!$A:$J,5,FALSE),"")</f>
        <v/>
      </c>
      <c r="I215" s="37" t="str">
        <f>IF($C215&lt;&gt;"",VLOOKUP($C215,授業リスト!$A:$J,6,FALSE),"")</f>
        <v/>
      </c>
      <c r="J215" s="37" t="str">
        <f>IF($C215&lt;&gt;"",VLOOKUP($C215,授業リスト!$A:$J,7,FALSE),"")</f>
        <v/>
      </c>
      <c r="K215" s="38" t="str">
        <f>IF($C215&lt;&gt;"",VLOOKUP($C215,授業リスト!$A:$J,9,FALSE),"")</f>
        <v/>
      </c>
      <c r="L215" s="99">
        <v>3</v>
      </c>
      <c r="M215" s="100"/>
      <c r="N215" s="100"/>
      <c r="O215" s="100"/>
      <c r="P215" s="100"/>
      <c r="Q215" s="100"/>
      <c r="R215" s="96"/>
    </row>
    <row r="216" spans="1:18">
      <c r="A216" s="37">
        <v>5</v>
      </c>
      <c r="B216" s="37" t="s">
        <v>69</v>
      </c>
      <c r="C216" s="85"/>
      <c r="D216" s="37" t="str">
        <f>IF($C216&lt;&gt;"",VLOOKUP($C216,授業リスト!$A:$J,2,FALSE),"")</f>
        <v/>
      </c>
      <c r="E216" s="37" t="str">
        <f>IF($C216&lt;&gt;"",VLOOKUP($C216,授業リスト!$A:$J,3,FALSE),"")</f>
        <v/>
      </c>
      <c r="F216" s="37" t="str">
        <f>IF($C216&lt;&gt;"",VLOOKUP($C216,授業リスト!$A:$J,8,FALSE),"")</f>
        <v/>
      </c>
      <c r="G216" s="37" t="str">
        <f>IF($C216&lt;&gt;"",VLOOKUP($C216,授業リスト!$A:$J,4,FALSE),"")</f>
        <v/>
      </c>
      <c r="H216" s="37" t="str">
        <f>IF($C216&lt;&gt;"",VLOOKUP($C216,授業リスト!$A:$J,5,FALSE),"")</f>
        <v/>
      </c>
      <c r="I216" s="37" t="str">
        <f>IF($C216&lt;&gt;"",VLOOKUP($C216,授業リスト!$A:$J,6,FALSE),"")</f>
        <v/>
      </c>
      <c r="J216" s="37" t="str">
        <f>IF($C216&lt;&gt;"",VLOOKUP($C216,授業リスト!$A:$J,7,FALSE),"")</f>
        <v/>
      </c>
      <c r="K216" s="38" t="str">
        <f>IF($C216&lt;&gt;"",VLOOKUP($C216,授業リスト!$A:$J,9,FALSE),"")</f>
        <v/>
      </c>
      <c r="L216" s="99">
        <v>4</v>
      </c>
      <c r="M216" s="100"/>
      <c r="N216" s="100"/>
      <c r="O216" s="100"/>
      <c r="P216" s="100"/>
      <c r="Q216" s="100"/>
      <c r="R216" s="96"/>
    </row>
    <row r="217" spans="1:18">
      <c r="A217" s="37">
        <v>5</v>
      </c>
      <c r="B217" s="37" t="s">
        <v>69</v>
      </c>
      <c r="C217" s="85"/>
      <c r="D217" s="37" t="str">
        <f>IF($C217&lt;&gt;"",VLOOKUP($C217,授業リスト!$A:$J,2,FALSE),"")</f>
        <v/>
      </c>
      <c r="E217" s="37" t="str">
        <f>IF($C217&lt;&gt;"",VLOOKUP($C217,授業リスト!$A:$J,3,FALSE),"")</f>
        <v/>
      </c>
      <c r="F217" s="37" t="str">
        <f>IF($C217&lt;&gt;"",VLOOKUP($C217,授業リスト!$A:$J,8,FALSE),"")</f>
        <v/>
      </c>
      <c r="G217" s="37" t="str">
        <f>IF($C217&lt;&gt;"",VLOOKUP($C217,授業リスト!$A:$J,4,FALSE),"")</f>
        <v/>
      </c>
      <c r="H217" s="37" t="str">
        <f>IF($C217&lt;&gt;"",VLOOKUP($C217,授業リスト!$A:$J,5,FALSE),"")</f>
        <v/>
      </c>
      <c r="I217" s="37" t="str">
        <f>IF($C217&lt;&gt;"",VLOOKUP($C217,授業リスト!$A:$J,6,FALSE),"")</f>
        <v/>
      </c>
      <c r="J217" s="37" t="str">
        <f>IF($C217&lt;&gt;"",VLOOKUP($C217,授業リスト!$A:$J,7,FALSE),"")</f>
        <v/>
      </c>
      <c r="K217" s="38" t="str">
        <f>IF($C217&lt;&gt;"",VLOOKUP($C217,授業リスト!$A:$J,9,FALSE),"")</f>
        <v/>
      </c>
      <c r="L217" s="99">
        <v>5</v>
      </c>
      <c r="M217" s="100"/>
      <c r="N217" s="100"/>
      <c r="O217" s="100"/>
      <c r="P217" s="100"/>
      <c r="Q217" s="100"/>
      <c r="R217" s="96"/>
    </row>
    <row r="218" spans="1:18">
      <c r="A218" s="37">
        <v>5</v>
      </c>
      <c r="B218" s="37" t="s">
        <v>69</v>
      </c>
      <c r="C218" s="85"/>
      <c r="D218" s="37" t="str">
        <f>IF($C218&lt;&gt;"",VLOOKUP($C218,授業リスト!$A:$J,2,FALSE),"")</f>
        <v/>
      </c>
      <c r="E218" s="37" t="str">
        <f>IF($C218&lt;&gt;"",VLOOKUP($C218,授業リスト!$A:$J,3,FALSE),"")</f>
        <v/>
      </c>
      <c r="F218" s="37" t="str">
        <f>IF($C218&lt;&gt;"",VLOOKUP($C218,授業リスト!$A:$J,8,FALSE),"")</f>
        <v/>
      </c>
      <c r="G218" s="37" t="str">
        <f>IF($C218&lt;&gt;"",VLOOKUP($C218,授業リスト!$A:$J,4,FALSE),"")</f>
        <v/>
      </c>
      <c r="H218" s="37" t="str">
        <f>IF($C218&lt;&gt;"",VLOOKUP($C218,授業リスト!$A:$J,5,FALSE),"")</f>
        <v/>
      </c>
      <c r="I218" s="37" t="str">
        <f>IF($C218&lt;&gt;"",VLOOKUP($C218,授業リスト!$A:$J,6,FALSE),"")</f>
        <v/>
      </c>
      <c r="J218" s="37" t="str">
        <f>IF($C218&lt;&gt;"",VLOOKUP($C218,授業リスト!$A:$J,7,FALSE),"")</f>
        <v/>
      </c>
      <c r="K218" s="38" t="str">
        <f>IF($C218&lt;&gt;"",VLOOKUP($C218,授業リスト!$A:$J,9,FALSE),"")</f>
        <v/>
      </c>
      <c r="L218" s="99">
        <v>6</v>
      </c>
      <c r="M218" s="100"/>
      <c r="N218" s="100"/>
      <c r="O218" s="100"/>
      <c r="P218" s="100"/>
      <c r="Q218" s="100"/>
      <c r="R218" s="96"/>
    </row>
    <row r="219" spans="1:18">
      <c r="A219" s="37">
        <v>5</v>
      </c>
      <c r="B219" s="37" t="s">
        <v>69</v>
      </c>
      <c r="C219" s="85"/>
      <c r="D219" s="37" t="str">
        <f>IF($C219&lt;&gt;"",VLOOKUP($C219,授業リスト!$A:$J,2,FALSE),"")</f>
        <v/>
      </c>
      <c r="E219" s="37" t="str">
        <f>IF($C219&lt;&gt;"",VLOOKUP($C219,授業リスト!$A:$J,3,FALSE),"")</f>
        <v/>
      </c>
      <c r="F219" s="37" t="str">
        <f>IF($C219&lt;&gt;"",VLOOKUP($C219,授業リスト!$A:$J,8,FALSE),"")</f>
        <v/>
      </c>
      <c r="G219" s="37" t="str">
        <f>IF($C219&lt;&gt;"",VLOOKUP($C219,授業リスト!$A:$J,4,FALSE),"")</f>
        <v/>
      </c>
      <c r="H219" s="37" t="str">
        <f>IF($C219&lt;&gt;"",VLOOKUP($C219,授業リスト!$A:$J,5,FALSE),"")</f>
        <v/>
      </c>
      <c r="I219" s="37" t="str">
        <f>IF($C219&lt;&gt;"",VLOOKUP($C219,授業リスト!$A:$J,6,FALSE),"")</f>
        <v/>
      </c>
      <c r="J219" s="37" t="str">
        <f>IF($C219&lt;&gt;"",VLOOKUP($C219,授業リスト!$A:$J,7,FALSE),"")</f>
        <v/>
      </c>
      <c r="K219" s="38" t="str">
        <f>IF($C219&lt;&gt;"",VLOOKUP($C219,授業リスト!$A:$J,9,FALSE),"")</f>
        <v/>
      </c>
      <c r="L219" s="99" t="s">
        <v>1160</v>
      </c>
      <c r="M219" s="105"/>
      <c r="N219" s="106"/>
      <c r="O219" s="106"/>
      <c r="P219" s="106"/>
      <c r="Q219" s="107"/>
      <c r="R219" s="96"/>
    </row>
    <row r="220" spans="1:18">
      <c r="A220" s="37">
        <v>5</v>
      </c>
      <c r="B220" s="37" t="s">
        <v>69</v>
      </c>
      <c r="C220" s="85"/>
      <c r="D220" s="37" t="str">
        <f>IF($C220&lt;&gt;"",VLOOKUP($C220,授業リスト!$A:$J,2,FALSE),"")</f>
        <v/>
      </c>
      <c r="E220" s="37" t="str">
        <f>IF($C220&lt;&gt;"",VLOOKUP($C220,授業リスト!$A:$J,3,FALSE),"")</f>
        <v/>
      </c>
      <c r="F220" s="37" t="str">
        <f>IF($C220&lt;&gt;"",VLOOKUP($C220,授業リスト!$A:$J,8,FALSE),"")</f>
        <v/>
      </c>
      <c r="G220" s="37" t="str">
        <f>IF($C220&lt;&gt;"",VLOOKUP($C220,授業リスト!$A:$J,4,FALSE),"")</f>
        <v/>
      </c>
      <c r="H220" s="37" t="str">
        <f>IF($C220&lt;&gt;"",VLOOKUP($C220,授業リスト!$A:$J,5,FALSE),"")</f>
        <v/>
      </c>
      <c r="I220" s="37" t="str">
        <f>IF($C220&lt;&gt;"",VLOOKUP($C220,授業リスト!$A:$J,6,FALSE),"")</f>
        <v/>
      </c>
      <c r="J220" s="37" t="str">
        <f>IF($C220&lt;&gt;"",VLOOKUP($C220,授業リスト!$A:$J,7,FALSE),"")</f>
        <v/>
      </c>
      <c r="K220" s="38" t="str">
        <f>IF($C220&lt;&gt;"",VLOOKUP($C220,授業リスト!$A:$J,9,FALSE),"")</f>
        <v/>
      </c>
      <c r="L220" s="15"/>
      <c r="M220" s="15"/>
      <c r="N220" s="15"/>
      <c r="O220" s="15"/>
      <c r="P220" s="15"/>
      <c r="Q220" s="15"/>
    </row>
    <row r="221" spans="1:18">
      <c r="A221" s="37">
        <v>5</v>
      </c>
      <c r="B221" s="37" t="s">
        <v>69</v>
      </c>
      <c r="C221" s="85"/>
      <c r="D221" s="37" t="str">
        <f>IF($C221&lt;&gt;"",VLOOKUP($C221,授業リスト!$A:$J,2,FALSE),"")</f>
        <v/>
      </c>
      <c r="E221" s="37" t="str">
        <f>IF($C221&lt;&gt;"",VLOOKUP($C221,授業リスト!$A:$J,3,FALSE),"")</f>
        <v/>
      </c>
      <c r="F221" s="37" t="str">
        <f>IF($C221&lt;&gt;"",VLOOKUP($C221,授業リスト!$A:$J,8,FALSE),"")</f>
        <v/>
      </c>
      <c r="G221" s="37" t="str">
        <f>IF($C221&lt;&gt;"",VLOOKUP($C221,授業リスト!$A:$J,4,FALSE),"")</f>
        <v/>
      </c>
      <c r="H221" s="37" t="str">
        <f>IF($C221&lt;&gt;"",VLOOKUP($C221,授業リスト!$A:$J,5,FALSE),"")</f>
        <v/>
      </c>
      <c r="I221" s="37" t="str">
        <f>IF($C221&lt;&gt;"",VLOOKUP($C221,授業リスト!$A:$J,6,FALSE),"")</f>
        <v/>
      </c>
      <c r="J221" s="37" t="str">
        <f>IF($C221&lt;&gt;"",VLOOKUP($C221,授業リスト!$A:$J,7,FALSE),"")</f>
        <v/>
      </c>
      <c r="K221" s="38" t="str">
        <f>IF($C221&lt;&gt;"",VLOOKUP($C221,授業リスト!$A:$J,9,FALSE),"")</f>
        <v/>
      </c>
      <c r="L221" s="15"/>
      <c r="M221" s="15"/>
      <c r="N221" s="15"/>
      <c r="O221" s="15"/>
      <c r="P221" s="15"/>
      <c r="Q221" s="15"/>
    </row>
    <row r="222" spans="1:18">
      <c r="A222" s="37">
        <v>5</v>
      </c>
      <c r="B222" s="37" t="s">
        <v>69</v>
      </c>
      <c r="C222" s="85"/>
      <c r="D222" s="37" t="str">
        <f>IF($C222&lt;&gt;"",VLOOKUP($C222,授業リスト!$A:$J,2,FALSE),"")</f>
        <v/>
      </c>
      <c r="E222" s="37" t="str">
        <f>IF($C222&lt;&gt;"",VLOOKUP($C222,授業リスト!$A:$J,3,FALSE),"")</f>
        <v/>
      </c>
      <c r="F222" s="37" t="str">
        <f>IF($C222&lt;&gt;"",VLOOKUP($C222,授業リスト!$A:$J,8,FALSE),"")</f>
        <v/>
      </c>
      <c r="G222" s="37" t="str">
        <f>IF($C222&lt;&gt;"",VLOOKUP($C222,授業リスト!$A:$J,4,FALSE),"")</f>
        <v/>
      </c>
      <c r="H222" s="37" t="str">
        <f>IF($C222&lt;&gt;"",VLOOKUP($C222,授業リスト!$A:$J,5,FALSE),"")</f>
        <v/>
      </c>
      <c r="I222" s="37" t="str">
        <f>IF($C222&lt;&gt;"",VLOOKUP($C222,授業リスト!$A:$J,6,FALSE),"")</f>
        <v/>
      </c>
      <c r="J222" s="37" t="str">
        <f>IF($C222&lt;&gt;"",VLOOKUP($C222,授業リスト!$A:$J,7,FALSE),"")</f>
        <v/>
      </c>
      <c r="K222" s="38" t="str">
        <f>IF($C222&lt;&gt;"",VLOOKUP($C222,授業リスト!$A:$J,9,FALSE),"")</f>
        <v/>
      </c>
      <c r="L222" s="15"/>
      <c r="M222" s="15"/>
      <c r="N222" s="15"/>
      <c r="O222" s="15"/>
      <c r="P222" s="15"/>
      <c r="Q222" s="15"/>
    </row>
    <row r="223" spans="1:18">
      <c r="A223" s="37">
        <v>5</v>
      </c>
      <c r="B223" s="37" t="s">
        <v>69</v>
      </c>
      <c r="C223" s="85"/>
      <c r="D223" s="37" t="str">
        <f>IF($C223&lt;&gt;"",VLOOKUP($C223,授業リスト!$A:$J,2,FALSE),"")</f>
        <v/>
      </c>
      <c r="E223" s="37" t="str">
        <f>IF($C223&lt;&gt;"",VLOOKUP($C223,授業リスト!$A:$J,3,FALSE),"")</f>
        <v/>
      </c>
      <c r="F223" s="37" t="str">
        <f>IF($C223&lt;&gt;"",VLOOKUP($C223,授業リスト!$A:$J,8,FALSE),"")</f>
        <v/>
      </c>
      <c r="G223" s="37" t="str">
        <f>IF($C223&lt;&gt;"",VLOOKUP($C223,授業リスト!$A:$J,4,FALSE),"")</f>
        <v/>
      </c>
      <c r="H223" s="37" t="str">
        <f>IF($C223&lt;&gt;"",VLOOKUP($C223,授業リスト!$A:$J,5,FALSE),"")</f>
        <v/>
      </c>
      <c r="I223" s="37" t="str">
        <f>IF($C223&lt;&gt;"",VLOOKUP($C223,授業リスト!$A:$J,6,FALSE),"")</f>
        <v/>
      </c>
      <c r="J223" s="37" t="str">
        <f>IF($C223&lt;&gt;"",VLOOKUP($C223,授業リスト!$A:$J,7,FALSE),"")</f>
        <v/>
      </c>
      <c r="K223" s="38" t="str">
        <f>IF($C223&lt;&gt;"",VLOOKUP($C223,授業リスト!$A:$J,9,FALSE),"")</f>
        <v/>
      </c>
      <c r="L223" s="15"/>
      <c r="M223" s="15"/>
      <c r="N223" s="15"/>
      <c r="O223" s="15"/>
      <c r="P223" s="15"/>
      <c r="Q223" s="15"/>
    </row>
    <row r="224" spans="1:18">
      <c r="A224" s="37">
        <v>5</v>
      </c>
      <c r="B224" s="37" t="s">
        <v>69</v>
      </c>
      <c r="C224" s="85"/>
      <c r="D224" s="37" t="str">
        <f>IF($C224&lt;&gt;"",VLOOKUP($C224,授業リスト!$A:$J,2,FALSE),"")</f>
        <v/>
      </c>
      <c r="E224" s="37" t="str">
        <f>IF($C224&lt;&gt;"",VLOOKUP($C224,授業リスト!$A:$J,3,FALSE),"")</f>
        <v/>
      </c>
      <c r="F224" s="37" t="str">
        <f>IF($C224&lt;&gt;"",VLOOKUP($C224,授業リスト!$A:$J,8,FALSE),"")</f>
        <v/>
      </c>
      <c r="G224" s="37" t="str">
        <f>IF($C224&lt;&gt;"",VLOOKUP($C224,授業リスト!$A:$J,4,FALSE),"")</f>
        <v/>
      </c>
      <c r="H224" s="37" t="str">
        <f>IF($C224&lt;&gt;"",VLOOKUP($C224,授業リスト!$A:$J,5,FALSE),"")</f>
        <v/>
      </c>
      <c r="I224" s="37" t="str">
        <f>IF($C224&lt;&gt;"",VLOOKUP($C224,授業リスト!$A:$J,6,FALSE),"")</f>
        <v/>
      </c>
      <c r="J224" s="37" t="str">
        <f>IF($C224&lt;&gt;"",VLOOKUP($C224,授業リスト!$A:$J,7,FALSE),"")</f>
        <v/>
      </c>
      <c r="K224" s="38" t="str">
        <f>IF($C224&lt;&gt;"",VLOOKUP($C224,授業リスト!$A:$J,9,FALSE),"")</f>
        <v/>
      </c>
      <c r="L224" s="15"/>
      <c r="M224" s="15"/>
      <c r="N224" s="15"/>
      <c r="O224" s="15"/>
      <c r="P224" s="15"/>
      <c r="Q224" s="15"/>
    </row>
    <row r="225" spans="1:18">
      <c r="A225" s="37">
        <v>5</v>
      </c>
      <c r="B225" s="37" t="s">
        <v>69</v>
      </c>
      <c r="C225" s="85"/>
      <c r="D225" s="37" t="str">
        <f>IF($C225&lt;&gt;"",VLOOKUP($C225,授業リスト!$A:$J,2,FALSE),"")</f>
        <v/>
      </c>
      <c r="E225" s="37" t="str">
        <f>IF($C225&lt;&gt;"",VLOOKUP($C225,授業リスト!$A:$J,3,FALSE),"")</f>
        <v/>
      </c>
      <c r="F225" s="37" t="str">
        <f>IF($C225&lt;&gt;"",VLOOKUP($C225,授業リスト!$A:$J,8,FALSE),"")</f>
        <v/>
      </c>
      <c r="G225" s="37" t="str">
        <f>IF($C225&lt;&gt;"",VLOOKUP($C225,授業リスト!$A:$J,4,FALSE),"")</f>
        <v/>
      </c>
      <c r="H225" s="37" t="str">
        <f>IF($C225&lt;&gt;"",VLOOKUP($C225,授業リスト!$A:$J,5,FALSE),"")</f>
        <v/>
      </c>
      <c r="I225" s="37" t="str">
        <f>IF($C225&lt;&gt;"",VLOOKUP($C225,授業リスト!$A:$J,6,FALSE),"")</f>
        <v/>
      </c>
      <c r="J225" s="37" t="str">
        <f>IF($C225&lt;&gt;"",VLOOKUP($C225,授業リスト!$A:$J,7,FALSE),"")</f>
        <v/>
      </c>
      <c r="K225" s="38" t="str">
        <f>IF($C225&lt;&gt;"",VLOOKUP($C225,授業リスト!$A:$J,9,FALSE),"")</f>
        <v/>
      </c>
      <c r="L225" s="15"/>
      <c r="M225" s="15"/>
      <c r="N225" s="15"/>
      <c r="O225" s="15"/>
      <c r="P225" s="15"/>
      <c r="Q225" s="15"/>
    </row>
    <row r="226" spans="1:18">
      <c r="A226" s="37">
        <v>5</v>
      </c>
      <c r="B226" s="37" t="s">
        <v>69</v>
      </c>
      <c r="C226" s="85"/>
      <c r="D226" s="37" t="str">
        <f>IF($C226&lt;&gt;"",VLOOKUP($C226,授業リスト!$A:$J,2,FALSE),"")</f>
        <v/>
      </c>
      <c r="E226" s="37" t="str">
        <f>IF($C226&lt;&gt;"",VLOOKUP($C226,授業リスト!$A:$J,3,FALSE),"")</f>
        <v/>
      </c>
      <c r="F226" s="37" t="str">
        <f>IF($C226&lt;&gt;"",VLOOKUP($C226,授業リスト!$A:$J,8,FALSE),"")</f>
        <v/>
      </c>
      <c r="G226" s="37" t="str">
        <f>IF($C226&lt;&gt;"",VLOOKUP($C226,授業リスト!$A:$J,4,FALSE),"")</f>
        <v/>
      </c>
      <c r="H226" s="37" t="str">
        <f>IF($C226&lt;&gt;"",VLOOKUP($C226,授業リスト!$A:$J,5,FALSE),"")</f>
        <v/>
      </c>
      <c r="I226" s="37" t="str">
        <f>IF($C226&lt;&gt;"",VLOOKUP($C226,授業リスト!$A:$J,6,FALSE),"")</f>
        <v/>
      </c>
      <c r="J226" s="37" t="str">
        <f>IF($C226&lt;&gt;"",VLOOKUP($C226,授業リスト!$A:$J,7,FALSE),"")</f>
        <v/>
      </c>
      <c r="K226" s="38" t="str">
        <f>IF($C226&lt;&gt;"",VLOOKUP($C226,授業リスト!$A:$J,9,FALSE),"")</f>
        <v/>
      </c>
      <c r="L226" s="15"/>
      <c r="M226" s="15"/>
      <c r="N226" s="15"/>
      <c r="O226" s="15"/>
      <c r="P226" s="15"/>
      <c r="Q226" s="15"/>
    </row>
    <row r="227" spans="1:18">
      <c r="A227" s="37">
        <v>5</v>
      </c>
      <c r="B227" s="37" t="s">
        <v>69</v>
      </c>
      <c r="C227" s="85"/>
      <c r="D227" s="37" t="str">
        <f>IF($C227&lt;&gt;"",VLOOKUP($C227,授業リスト!$A:$J,2,FALSE),"")</f>
        <v/>
      </c>
      <c r="E227" s="37" t="str">
        <f>IF($C227&lt;&gt;"",VLOOKUP($C227,授業リスト!$A:$J,3,FALSE),"")</f>
        <v/>
      </c>
      <c r="F227" s="37" t="str">
        <f>IF($C227&lt;&gt;"",VLOOKUP($C227,授業リスト!$A:$J,8,FALSE),"")</f>
        <v/>
      </c>
      <c r="G227" s="37" t="str">
        <f>IF($C227&lt;&gt;"",VLOOKUP($C227,授業リスト!$A:$J,4,FALSE),"")</f>
        <v/>
      </c>
      <c r="H227" s="37" t="str">
        <f>IF($C227&lt;&gt;"",VLOOKUP($C227,授業リスト!$A:$J,5,FALSE),"")</f>
        <v/>
      </c>
      <c r="I227" s="37" t="str">
        <f>IF($C227&lt;&gt;"",VLOOKUP($C227,授業リスト!$A:$J,6,FALSE),"")</f>
        <v/>
      </c>
      <c r="J227" s="37" t="str">
        <f>IF($C227&lt;&gt;"",VLOOKUP($C227,授業リスト!$A:$J,7,FALSE),"")</f>
        <v/>
      </c>
      <c r="K227" s="38" t="str">
        <f>IF($C227&lt;&gt;"",VLOOKUP($C227,授業リスト!$A:$J,9,FALSE),"")</f>
        <v/>
      </c>
      <c r="L227" s="15"/>
      <c r="M227" s="15"/>
      <c r="N227" s="15"/>
      <c r="O227" s="15"/>
      <c r="P227" s="15"/>
      <c r="Q227" s="15"/>
    </row>
    <row r="228" spans="1:18">
      <c r="A228" s="37">
        <v>5</v>
      </c>
      <c r="B228" s="37" t="s">
        <v>69</v>
      </c>
      <c r="C228" s="85"/>
      <c r="D228" s="37" t="str">
        <f>IF($C228&lt;&gt;"",VLOOKUP($C228,授業リスト!$A:$J,2,FALSE),"")</f>
        <v/>
      </c>
      <c r="E228" s="37" t="str">
        <f>IF($C228&lt;&gt;"",VLOOKUP($C228,授業リスト!$A:$J,3,FALSE),"")</f>
        <v/>
      </c>
      <c r="F228" s="37" t="str">
        <f>IF($C228&lt;&gt;"",VLOOKUP($C228,授業リスト!$A:$J,8,FALSE),"")</f>
        <v/>
      </c>
      <c r="G228" s="37" t="str">
        <f>IF($C228&lt;&gt;"",VLOOKUP($C228,授業リスト!$A:$J,4,FALSE),"")</f>
        <v/>
      </c>
      <c r="H228" s="37" t="str">
        <f>IF($C228&lt;&gt;"",VLOOKUP($C228,授業リスト!$A:$J,5,FALSE),"")</f>
        <v/>
      </c>
      <c r="I228" s="37" t="str">
        <f>IF($C228&lt;&gt;"",VLOOKUP($C228,授業リスト!$A:$J,6,FALSE),"")</f>
        <v/>
      </c>
      <c r="J228" s="37" t="str">
        <f>IF($C228&lt;&gt;"",VLOOKUP($C228,授業リスト!$A:$J,7,FALSE),"")</f>
        <v/>
      </c>
      <c r="K228" s="38" t="str">
        <f>IF($C228&lt;&gt;"",VLOOKUP($C228,授業リスト!$A:$J,9,FALSE),"")</f>
        <v/>
      </c>
      <c r="L228" s="15"/>
      <c r="M228" s="15"/>
      <c r="N228" s="15"/>
      <c r="O228" s="15"/>
      <c r="P228" s="15"/>
      <c r="Q228" s="15"/>
    </row>
    <row r="229" spans="1:18">
      <c r="A229" s="37">
        <v>5</v>
      </c>
      <c r="B229" s="37" t="s">
        <v>69</v>
      </c>
      <c r="C229" s="85"/>
      <c r="D229" s="37" t="str">
        <f>IF($C229&lt;&gt;"",VLOOKUP($C229,授業リスト!$A:$J,2,FALSE),"")</f>
        <v/>
      </c>
      <c r="E229" s="37" t="str">
        <f>IF($C229&lt;&gt;"",VLOOKUP($C229,授業リスト!$A:$J,3,FALSE),"")</f>
        <v/>
      </c>
      <c r="F229" s="37" t="str">
        <f>IF($C229&lt;&gt;"",VLOOKUP($C229,授業リスト!$A:$J,8,FALSE),"")</f>
        <v/>
      </c>
      <c r="G229" s="37" t="str">
        <f>IF($C229&lt;&gt;"",VLOOKUP($C229,授業リスト!$A:$J,4,FALSE),"")</f>
        <v/>
      </c>
      <c r="H229" s="37" t="str">
        <f>IF($C229&lt;&gt;"",VLOOKUP($C229,授業リスト!$A:$J,5,FALSE),"")</f>
        <v/>
      </c>
      <c r="I229" s="37" t="str">
        <f>IF($C229&lt;&gt;"",VLOOKUP($C229,授業リスト!$A:$J,6,FALSE),"")</f>
        <v/>
      </c>
      <c r="J229" s="37" t="str">
        <f>IF($C229&lt;&gt;"",VLOOKUP($C229,授業リスト!$A:$J,7,FALSE),"")</f>
        <v/>
      </c>
      <c r="K229" s="38" t="str">
        <f>IF($C229&lt;&gt;"",VLOOKUP($C229,授業リスト!$A:$J,9,FALSE),"")</f>
        <v/>
      </c>
      <c r="L229" s="15"/>
      <c r="M229" s="15"/>
      <c r="N229" s="15"/>
      <c r="O229" s="15"/>
      <c r="P229" s="15"/>
      <c r="Q229" s="15"/>
    </row>
    <row r="230" spans="1:18">
      <c r="A230" s="37">
        <v>5</v>
      </c>
      <c r="B230" s="37" t="s">
        <v>69</v>
      </c>
      <c r="C230" s="85"/>
      <c r="D230" s="37" t="str">
        <f>IF($C230&lt;&gt;"",VLOOKUP($C230,授業リスト!$A:$J,2,FALSE),"")</f>
        <v/>
      </c>
      <c r="E230" s="37" t="str">
        <f>IF($C230&lt;&gt;"",VLOOKUP($C230,授業リスト!$A:$J,3,FALSE),"")</f>
        <v/>
      </c>
      <c r="F230" s="37" t="str">
        <f>IF($C230&lt;&gt;"",VLOOKUP($C230,授業リスト!$A:$J,8,FALSE),"")</f>
        <v/>
      </c>
      <c r="G230" s="37" t="str">
        <f>IF($C230&lt;&gt;"",VLOOKUP($C230,授業リスト!$A:$J,4,FALSE),"")</f>
        <v/>
      </c>
      <c r="H230" s="37" t="str">
        <f>IF($C230&lt;&gt;"",VLOOKUP($C230,授業リスト!$A:$J,5,FALSE),"")</f>
        <v/>
      </c>
      <c r="I230" s="37" t="str">
        <f>IF($C230&lt;&gt;"",VLOOKUP($C230,授業リスト!$A:$J,6,FALSE),"")</f>
        <v/>
      </c>
      <c r="J230" s="37" t="str">
        <f>IF($C230&lt;&gt;"",VLOOKUP($C230,授業リスト!$A:$J,7,FALSE),"")</f>
        <v/>
      </c>
      <c r="K230" s="38" t="str">
        <f>IF($C230&lt;&gt;"",VLOOKUP($C230,授業リスト!$A:$J,9,FALSE),"")</f>
        <v/>
      </c>
      <c r="L230" s="15"/>
      <c r="M230" s="15"/>
      <c r="N230" s="15"/>
      <c r="O230" s="15"/>
      <c r="P230" s="15"/>
      <c r="Q230" s="15"/>
    </row>
    <row r="231" spans="1:18">
      <c r="A231" s="37">
        <v>5</v>
      </c>
      <c r="B231" s="37" t="s">
        <v>69</v>
      </c>
      <c r="C231" s="85"/>
      <c r="D231" s="37" t="str">
        <f>IF($C231&lt;&gt;"",VLOOKUP($C231,授業リスト!$A:$J,2,FALSE),"")</f>
        <v/>
      </c>
      <c r="E231" s="37" t="str">
        <f>IF($C231&lt;&gt;"",VLOOKUP($C231,授業リスト!$A:$J,3,FALSE),"")</f>
        <v/>
      </c>
      <c r="F231" s="37" t="str">
        <f>IF($C231&lt;&gt;"",VLOOKUP($C231,授業リスト!$A:$J,8,FALSE),"")</f>
        <v/>
      </c>
      <c r="G231" s="37" t="str">
        <f>IF($C231&lt;&gt;"",VLOOKUP($C231,授業リスト!$A:$J,4,FALSE),"")</f>
        <v/>
      </c>
      <c r="H231" s="37" t="str">
        <f>IF($C231&lt;&gt;"",VLOOKUP($C231,授業リスト!$A:$J,5,FALSE),"")</f>
        <v/>
      </c>
      <c r="I231" s="37" t="str">
        <f>IF($C231&lt;&gt;"",VLOOKUP($C231,授業リスト!$A:$J,6,FALSE),"")</f>
        <v/>
      </c>
      <c r="J231" s="37" t="str">
        <f>IF($C231&lt;&gt;"",VLOOKUP($C231,授業リスト!$A:$J,7,FALSE),"")</f>
        <v/>
      </c>
      <c r="K231" s="38" t="str">
        <f>IF($C231&lt;&gt;"",VLOOKUP($C231,授業リスト!$A:$J,9,FALSE),"")</f>
        <v/>
      </c>
      <c r="L231" s="15"/>
      <c r="M231" s="15"/>
      <c r="N231" s="15"/>
      <c r="O231" s="15"/>
      <c r="P231" s="15"/>
      <c r="Q231" s="15"/>
    </row>
    <row r="232" spans="1:18">
      <c r="A232" s="37">
        <v>5</v>
      </c>
      <c r="B232" s="37" t="s">
        <v>69</v>
      </c>
      <c r="C232" s="85"/>
      <c r="D232" s="37" t="str">
        <f>IF($C232&lt;&gt;"",VLOOKUP($C232,授業リスト!$A:$J,2,FALSE),"")</f>
        <v/>
      </c>
      <c r="E232" s="37" t="str">
        <f>IF($C232&lt;&gt;"",VLOOKUP($C232,授業リスト!$A:$J,3,FALSE),"")</f>
        <v/>
      </c>
      <c r="F232" s="37" t="str">
        <f>IF($C232&lt;&gt;"",VLOOKUP($C232,授業リスト!$A:$J,8,FALSE),"")</f>
        <v/>
      </c>
      <c r="G232" s="37" t="str">
        <f>IF($C232&lt;&gt;"",VLOOKUP($C232,授業リスト!$A:$J,4,FALSE),"")</f>
        <v/>
      </c>
      <c r="H232" s="37" t="str">
        <f>IF($C232&lt;&gt;"",VLOOKUP($C232,授業リスト!$A:$J,5,FALSE),"")</f>
        <v/>
      </c>
      <c r="I232" s="37" t="str">
        <f>IF($C232&lt;&gt;"",VLOOKUP($C232,授業リスト!$A:$J,6,FALSE),"")</f>
        <v/>
      </c>
      <c r="J232" s="37" t="str">
        <f>IF($C232&lt;&gt;"",VLOOKUP($C232,授業リスト!$A:$J,7,FALSE),"")</f>
        <v/>
      </c>
      <c r="K232" s="38" t="str">
        <f>IF($C232&lt;&gt;"",VLOOKUP($C232,授業リスト!$A:$J,9,FALSE),"")</f>
        <v/>
      </c>
      <c r="L232" s="15"/>
      <c r="M232" s="15"/>
      <c r="N232" s="15"/>
      <c r="O232" s="15"/>
      <c r="P232" s="15"/>
      <c r="Q232" s="15"/>
    </row>
    <row r="233" spans="1:18">
      <c r="A233" s="37">
        <v>5</v>
      </c>
      <c r="B233" s="37" t="s">
        <v>69</v>
      </c>
      <c r="C233" s="85"/>
      <c r="D233" s="37" t="str">
        <f>IF($C233&lt;&gt;"",VLOOKUP($C233,授業リスト!$A:$J,2,FALSE),"")</f>
        <v/>
      </c>
      <c r="E233" s="37" t="str">
        <f>IF($C233&lt;&gt;"",VLOOKUP($C233,授業リスト!$A:$J,3,FALSE),"")</f>
        <v/>
      </c>
      <c r="F233" s="37" t="str">
        <f>IF($C233&lt;&gt;"",VLOOKUP($C233,授業リスト!$A:$J,8,FALSE),"")</f>
        <v/>
      </c>
      <c r="G233" s="37" t="str">
        <f>IF($C233&lt;&gt;"",VLOOKUP($C233,授業リスト!$A:$J,4,FALSE),"")</f>
        <v/>
      </c>
      <c r="H233" s="37" t="str">
        <f>IF($C233&lt;&gt;"",VLOOKUP($C233,授業リスト!$A:$J,5,FALSE),"")</f>
        <v/>
      </c>
      <c r="I233" s="37" t="str">
        <f>IF($C233&lt;&gt;"",VLOOKUP($C233,授業リスト!$A:$J,6,FALSE),"")</f>
        <v/>
      </c>
      <c r="J233" s="37" t="str">
        <f>IF($C233&lt;&gt;"",VLOOKUP($C233,授業リスト!$A:$J,7,FALSE),"")</f>
        <v/>
      </c>
      <c r="K233" s="38" t="str">
        <f>IF($C233&lt;&gt;"",VLOOKUP($C233,授業リスト!$A:$J,9,FALSE),"")</f>
        <v/>
      </c>
      <c r="L233" s="15"/>
      <c r="M233" s="15"/>
      <c r="N233" s="15"/>
      <c r="O233" s="15"/>
      <c r="P233" s="15"/>
      <c r="Q233" s="15"/>
    </row>
    <row r="234" spans="1:18">
      <c r="A234" s="37">
        <v>5</v>
      </c>
      <c r="B234" s="37" t="s">
        <v>69</v>
      </c>
      <c r="C234" s="85"/>
      <c r="D234" s="37" t="str">
        <f>IF($C234&lt;&gt;"",VLOOKUP($C234,授業リスト!$A:$J,2,FALSE),"")</f>
        <v/>
      </c>
      <c r="E234" s="37" t="str">
        <f>IF($C234&lt;&gt;"",VLOOKUP($C234,授業リスト!$A:$J,3,FALSE),"")</f>
        <v/>
      </c>
      <c r="F234" s="37" t="str">
        <f>IF($C234&lt;&gt;"",VLOOKUP($C234,授業リスト!$A:$J,8,FALSE),"")</f>
        <v/>
      </c>
      <c r="G234" s="37" t="str">
        <f>IF($C234&lt;&gt;"",VLOOKUP($C234,授業リスト!$A:$J,4,FALSE),"")</f>
        <v/>
      </c>
      <c r="H234" s="37" t="str">
        <f>IF($C234&lt;&gt;"",VLOOKUP($C234,授業リスト!$A:$J,5,FALSE),"")</f>
        <v/>
      </c>
      <c r="I234" s="37" t="str">
        <f>IF($C234&lt;&gt;"",VLOOKUP($C234,授業リスト!$A:$J,6,FALSE),"")</f>
        <v/>
      </c>
      <c r="J234" s="37" t="str">
        <f>IF($C234&lt;&gt;"",VLOOKUP($C234,授業リスト!$A:$J,7,FALSE),"")</f>
        <v/>
      </c>
      <c r="K234" s="38" t="str">
        <f>IF($C234&lt;&gt;"",VLOOKUP($C234,授業リスト!$A:$J,9,FALSE),"")</f>
        <v/>
      </c>
      <c r="L234" s="15"/>
      <c r="M234" s="15"/>
      <c r="N234" s="15"/>
      <c r="O234" s="15"/>
      <c r="P234" s="15"/>
      <c r="Q234" s="15"/>
    </row>
    <row r="235" spans="1:18">
      <c r="A235" s="37">
        <v>5</v>
      </c>
      <c r="B235" s="37" t="s">
        <v>69</v>
      </c>
      <c r="C235" s="85"/>
      <c r="D235" s="37" t="str">
        <f>IF($C235&lt;&gt;"",VLOOKUP($C235,授業リスト!$A:$J,2,FALSE),"")</f>
        <v/>
      </c>
      <c r="E235" s="37" t="str">
        <f>IF($C235&lt;&gt;"",VLOOKUP($C235,授業リスト!$A:$J,3,FALSE),"")</f>
        <v/>
      </c>
      <c r="F235" s="37" t="str">
        <f>IF($C235&lt;&gt;"",VLOOKUP($C235,授業リスト!$A:$J,8,FALSE),"")</f>
        <v/>
      </c>
      <c r="G235" s="37" t="str">
        <f>IF($C235&lt;&gt;"",VLOOKUP($C235,授業リスト!$A:$J,4,FALSE),"")</f>
        <v/>
      </c>
      <c r="H235" s="37" t="str">
        <f>IF($C235&lt;&gt;"",VLOOKUP($C235,授業リスト!$A:$J,5,FALSE),"")</f>
        <v/>
      </c>
      <c r="I235" s="37" t="str">
        <f>IF($C235&lt;&gt;"",VLOOKUP($C235,授業リスト!$A:$J,6,FALSE),"")</f>
        <v/>
      </c>
      <c r="J235" s="37" t="str">
        <f>IF($C235&lt;&gt;"",VLOOKUP($C235,授業リスト!$A:$J,7,FALSE),"")</f>
        <v/>
      </c>
      <c r="K235" s="38" t="str">
        <f>IF($C235&lt;&gt;"",VLOOKUP($C235,授業リスト!$A:$J,9,FALSE),"")</f>
        <v/>
      </c>
      <c r="L235" s="15"/>
      <c r="M235" s="15"/>
      <c r="N235" s="15"/>
      <c r="O235" s="15"/>
      <c r="P235" s="15"/>
      <c r="Q235" s="15"/>
    </row>
    <row r="236" spans="1:18">
      <c r="A236" s="37">
        <v>5</v>
      </c>
      <c r="B236" s="37" t="s">
        <v>69</v>
      </c>
      <c r="C236" s="85"/>
      <c r="D236" s="37" t="str">
        <f>IF($C236&lt;&gt;"",VLOOKUP($C236,授業リスト!$A:$J,2,FALSE),"")</f>
        <v/>
      </c>
      <c r="E236" s="37" t="str">
        <f>IF($C236&lt;&gt;"",VLOOKUP($C236,授業リスト!$A:$J,3,FALSE),"")</f>
        <v/>
      </c>
      <c r="F236" s="37" t="str">
        <f>IF($C236&lt;&gt;"",VLOOKUP($C236,授業リスト!$A:$J,8,FALSE),"")</f>
        <v/>
      </c>
      <c r="G236" s="37" t="str">
        <f>IF($C236&lt;&gt;"",VLOOKUP($C236,授業リスト!$A:$J,4,FALSE),"")</f>
        <v/>
      </c>
      <c r="H236" s="37" t="str">
        <f>IF($C236&lt;&gt;"",VLOOKUP($C236,授業リスト!$A:$J,5,FALSE),"")</f>
        <v/>
      </c>
      <c r="I236" s="37" t="str">
        <f>IF($C236&lt;&gt;"",VLOOKUP($C236,授業リスト!$A:$J,6,FALSE),"")</f>
        <v/>
      </c>
      <c r="J236" s="37" t="str">
        <f>IF($C236&lt;&gt;"",VLOOKUP($C236,授業リスト!$A:$J,7,FALSE),"")</f>
        <v/>
      </c>
      <c r="K236" s="38" t="str">
        <f>IF($C236&lt;&gt;"",VLOOKUP($C236,授業リスト!$A:$J,9,FALSE),"")</f>
        <v/>
      </c>
      <c r="L236" s="15"/>
      <c r="M236" s="15"/>
      <c r="N236" s="15"/>
      <c r="O236" s="15"/>
      <c r="P236" s="15"/>
      <c r="Q236" s="15"/>
    </row>
    <row r="237" spans="1:18">
      <c r="A237" s="40">
        <v>5</v>
      </c>
      <c r="B237" s="40" t="s">
        <v>69</v>
      </c>
      <c r="C237" s="86"/>
      <c r="D237" s="40" t="str">
        <f>IF($C237&lt;&gt;"",VLOOKUP($C237,授業リスト!$A:$J,2,FALSE),"")</f>
        <v/>
      </c>
      <c r="E237" s="40" t="str">
        <f>IF($C237&lt;&gt;"",VLOOKUP($C237,授業リスト!$A:$J,3,FALSE),"")</f>
        <v/>
      </c>
      <c r="F237" s="40" t="str">
        <f>IF($C237&lt;&gt;"",VLOOKUP($C237,授業リスト!$A:$J,8,FALSE),"")</f>
        <v/>
      </c>
      <c r="G237" s="40" t="str">
        <f>IF($C237&lt;&gt;"",VLOOKUP($C237,授業リスト!$A:$J,4,FALSE),"")</f>
        <v/>
      </c>
      <c r="H237" s="40" t="str">
        <f>IF($C237&lt;&gt;"",VLOOKUP($C237,授業リスト!$A:$J,5,FALSE),"")</f>
        <v/>
      </c>
      <c r="I237" s="40" t="str">
        <f>IF($C237&lt;&gt;"",VLOOKUP($C237,授業リスト!$A:$J,6,FALSE),"")</f>
        <v/>
      </c>
      <c r="J237" s="40" t="str">
        <f>IF($C237&lt;&gt;"",VLOOKUP($C237,授業リスト!$A:$J,7,FALSE),"")</f>
        <v/>
      </c>
      <c r="K237" s="41" t="str">
        <f>IF($C237&lt;&gt;"",VLOOKUP($C237,授業リスト!$A:$J,9,FALSE),"")</f>
        <v/>
      </c>
      <c r="L237" s="15"/>
      <c r="M237" s="15"/>
      <c r="N237" s="15"/>
      <c r="O237" s="15"/>
      <c r="P237" s="15"/>
      <c r="Q237" s="15"/>
    </row>
    <row r="238" spans="1:18" ht="18">
      <c r="A238">
        <v>5</v>
      </c>
      <c r="B238" t="s">
        <v>47</v>
      </c>
      <c r="C238" s="87"/>
      <c r="D238" t="str">
        <f>IF($C238&lt;&gt;"",VLOOKUP($C238,授業リスト!$A:$J,2,FALSE),"")</f>
        <v/>
      </c>
      <c r="E238" t="str">
        <f>IF($C238&lt;&gt;"",VLOOKUP($C238,授業リスト!$A:$J,3,FALSE),"")</f>
        <v/>
      </c>
      <c r="F238" t="str">
        <f>IF($C238&lt;&gt;"",VLOOKUP($C238,授業リスト!$A:$J,8,FALSE),"")</f>
        <v/>
      </c>
      <c r="G238" t="str">
        <f>IF($C238&lt;&gt;"",VLOOKUP($C238,授業リスト!$A:$J,4,FALSE),"")</f>
        <v/>
      </c>
      <c r="H238" t="str">
        <f>IF($C238&lt;&gt;"",VLOOKUP($C238,授業リスト!$A:$J,5,FALSE),"")</f>
        <v/>
      </c>
      <c r="I238" t="str">
        <f>IF($C238&lt;&gt;"",VLOOKUP($C238,授業リスト!$A:$J,6,FALSE),"")</f>
        <v/>
      </c>
      <c r="J238" t="str">
        <f>IF($C238&lt;&gt;"",VLOOKUP($C238,授業リスト!$A:$J,7,FALSE),"")</f>
        <v/>
      </c>
      <c r="K238" s="30" t="str">
        <f>IF($C238&lt;&gt;"",VLOOKUP($C238,授業リスト!$A:$J,9,FALSE),"")</f>
        <v/>
      </c>
      <c r="L238" s="96"/>
      <c r="M238" s="97" t="s">
        <v>1156</v>
      </c>
      <c r="N238" s="98" t="s">
        <v>1155</v>
      </c>
      <c r="O238" s="97" t="s">
        <v>1157</v>
      </c>
      <c r="P238" s="97" t="s">
        <v>1158</v>
      </c>
      <c r="Q238" s="97" t="s">
        <v>1159</v>
      </c>
      <c r="R238" s="96"/>
    </row>
    <row r="239" spans="1:18">
      <c r="A239">
        <v>5</v>
      </c>
      <c r="B239" t="s">
        <v>47</v>
      </c>
      <c r="C239" s="87"/>
      <c r="D239" t="str">
        <f>IF($C239&lt;&gt;"",VLOOKUP($C239,授業リスト!$A:$J,2,FALSE),"")</f>
        <v/>
      </c>
      <c r="E239" t="str">
        <f>IF($C239&lt;&gt;"",VLOOKUP($C239,授業リスト!$A:$J,3,FALSE),"")</f>
        <v/>
      </c>
      <c r="F239" t="str">
        <f>IF($C239&lt;&gt;"",VLOOKUP($C239,授業リスト!$A:$J,8,FALSE),"")</f>
        <v/>
      </c>
      <c r="G239" t="str">
        <f>IF($C239&lt;&gt;"",VLOOKUP($C239,授業リスト!$A:$J,4,FALSE),"")</f>
        <v/>
      </c>
      <c r="H239" t="str">
        <f>IF($C239&lt;&gt;"",VLOOKUP($C239,授業リスト!$A:$J,5,FALSE),"")</f>
        <v/>
      </c>
      <c r="I239" t="str">
        <f>IF($C239&lt;&gt;"",VLOOKUP($C239,授業リスト!$A:$J,6,FALSE),"")</f>
        <v/>
      </c>
      <c r="J239" t="str">
        <f>IF($C239&lt;&gt;"",VLOOKUP($C239,授業リスト!$A:$J,7,FALSE),"")</f>
        <v/>
      </c>
      <c r="K239" s="30" t="str">
        <f>IF($C239&lt;&gt;"",VLOOKUP($C239,授業リスト!$A:$J,9,FALSE),"")</f>
        <v/>
      </c>
      <c r="L239" s="99">
        <v>1</v>
      </c>
      <c r="M239" s="100"/>
      <c r="N239" s="100"/>
      <c r="O239" s="100"/>
      <c r="P239" s="100"/>
      <c r="Q239" s="100"/>
      <c r="R239" s="96"/>
    </row>
    <row r="240" spans="1:18">
      <c r="A240">
        <v>5</v>
      </c>
      <c r="B240" t="s">
        <v>47</v>
      </c>
      <c r="C240" s="87"/>
      <c r="D240" t="str">
        <f>IF($C240&lt;&gt;"",VLOOKUP($C240,授業リスト!$A:$J,2,FALSE),"")</f>
        <v/>
      </c>
      <c r="E240" t="str">
        <f>IF($C240&lt;&gt;"",VLOOKUP($C240,授業リスト!$A:$J,3,FALSE),"")</f>
        <v/>
      </c>
      <c r="F240" t="str">
        <f>IF($C240&lt;&gt;"",VLOOKUP($C240,授業リスト!$A:$J,8,FALSE),"")</f>
        <v/>
      </c>
      <c r="G240" t="str">
        <f>IF($C240&lt;&gt;"",VLOOKUP($C240,授業リスト!$A:$J,4,FALSE),"")</f>
        <v/>
      </c>
      <c r="H240" t="str">
        <f>IF($C240&lt;&gt;"",VLOOKUP($C240,授業リスト!$A:$J,5,FALSE),"")</f>
        <v/>
      </c>
      <c r="I240" t="str">
        <f>IF($C240&lt;&gt;"",VLOOKUP($C240,授業リスト!$A:$J,6,FALSE),"")</f>
        <v/>
      </c>
      <c r="J240" t="str">
        <f>IF($C240&lt;&gt;"",VLOOKUP($C240,授業リスト!$A:$J,7,FALSE),"")</f>
        <v/>
      </c>
      <c r="K240" s="30" t="str">
        <f>IF($C240&lt;&gt;"",VLOOKUP($C240,授業リスト!$A:$J,9,FALSE),"")</f>
        <v/>
      </c>
      <c r="L240" s="99">
        <v>2</v>
      </c>
      <c r="M240" s="100"/>
      <c r="N240" s="100"/>
      <c r="O240" s="100"/>
      <c r="P240" s="100"/>
      <c r="Q240" s="100"/>
      <c r="R240" s="96"/>
    </row>
    <row r="241" spans="1:18">
      <c r="A241">
        <v>5</v>
      </c>
      <c r="B241" t="s">
        <v>47</v>
      </c>
      <c r="C241" s="87"/>
      <c r="D241" t="str">
        <f>IF($C241&lt;&gt;"",VLOOKUP($C241,授業リスト!$A:$J,2,FALSE),"")</f>
        <v/>
      </c>
      <c r="E241" t="str">
        <f>IF($C241&lt;&gt;"",VLOOKUP($C241,授業リスト!$A:$J,3,FALSE),"")</f>
        <v/>
      </c>
      <c r="F241" t="str">
        <f>IF($C241&lt;&gt;"",VLOOKUP($C241,授業リスト!$A:$J,8,FALSE),"")</f>
        <v/>
      </c>
      <c r="G241" t="str">
        <f>IF($C241&lt;&gt;"",VLOOKUP($C241,授業リスト!$A:$J,4,FALSE),"")</f>
        <v/>
      </c>
      <c r="H241" t="str">
        <f>IF($C241&lt;&gt;"",VLOOKUP($C241,授業リスト!$A:$J,5,FALSE),"")</f>
        <v/>
      </c>
      <c r="I241" t="str">
        <f>IF($C241&lt;&gt;"",VLOOKUP($C241,授業リスト!$A:$J,6,FALSE),"")</f>
        <v/>
      </c>
      <c r="J241" t="str">
        <f>IF($C241&lt;&gt;"",VLOOKUP($C241,授業リスト!$A:$J,7,FALSE),"")</f>
        <v/>
      </c>
      <c r="K241" s="30" t="str">
        <f>IF($C241&lt;&gt;"",VLOOKUP($C241,授業リスト!$A:$J,9,FALSE),"")</f>
        <v/>
      </c>
      <c r="L241" s="99">
        <v>3</v>
      </c>
      <c r="M241" s="100"/>
      <c r="N241" s="100"/>
      <c r="O241" s="100"/>
      <c r="P241" s="100"/>
      <c r="Q241" s="100"/>
      <c r="R241" s="96"/>
    </row>
    <row r="242" spans="1:18">
      <c r="A242">
        <v>5</v>
      </c>
      <c r="B242" t="s">
        <v>47</v>
      </c>
      <c r="C242" s="87"/>
      <c r="D242" t="str">
        <f>IF($C242&lt;&gt;"",VLOOKUP($C242,授業リスト!$A:$J,2,FALSE),"")</f>
        <v/>
      </c>
      <c r="E242" t="str">
        <f>IF($C242&lt;&gt;"",VLOOKUP($C242,授業リスト!$A:$J,3,FALSE),"")</f>
        <v/>
      </c>
      <c r="F242" t="str">
        <f>IF($C242&lt;&gt;"",VLOOKUP($C242,授業リスト!$A:$J,8,FALSE),"")</f>
        <v/>
      </c>
      <c r="G242" t="str">
        <f>IF($C242&lt;&gt;"",VLOOKUP($C242,授業リスト!$A:$J,4,FALSE),"")</f>
        <v/>
      </c>
      <c r="H242" t="str">
        <f>IF($C242&lt;&gt;"",VLOOKUP($C242,授業リスト!$A:$J,5,FALSE),"")</f>
        <v/>
      </c>
      <c r="I242" t="str">
        <f>IF($C242&lt;&gt;"",VLOOKUP($C242,授業リスト!$A:$J,6,FALSE),"")</f>
        <v/>
      </c>
      <c r="J242" t="str">
        <f>IF($C242&lt;&gt;"",VLOOKUP($C242,授業リスト!$A:$J,7,FALSE),"")</f>
        <v/>
      </c>
      <c r="K242" s="30" t="str">
        <f>IF($C242&lt;&gt;"",VLOOKUP($C242,授業リスト!$A:$J,9,FALSE),"")</f>
        <v/>
      </c>
      <c r="L242" s="99">
        <v>4</v>
      </c>
      <c r="M242" s="100"/>
      <c r="N242" s="100"/>
      <c r="O242" s="100"/>
      <c r="P242" s="100"/>
      <c r="Q242" s="100"/>
      <c r="R242" s="96"/>
    </row>
    <row r="243" spans="1:18">
      <c r="A243">
        <v>5</v>
      </c>
      <c r="B243" t="s">
        <v>47</v>
      </c>
      <c r="C243" s="87"/>
      <c r="D243" t="str">
        <f>IF($C243&lt;&gt;"",VLOOKUP($C243,授業リスト!$A:$J,2,FALSE),"")</f>
        <v/>
      </c>
      <c r="E243" t="str">
        <f>IF($C243&lt;&gt;"",VLOOKUP($C243,授業リスト!$A:$J,3,FALSE),"")</f>
        <v/>
      </c>
      <c r="F243" t="str">
        <f>IF($C243&lt;&gt;"",VLOOKUP($C243,授業リスト!$A:$J,8,FALSE),"")</f>
        <v/>
      </c>
      <c r="G243" t="str">
        <f>IF($C243&lt;&gt;"",VLOOKUP($C243,授業リスト!$A:$J,4,FALSE),"")</f>
        <v/>
      </c>
      <c r="H243" t="str">
        <f>IF($C243&lt;&gt;"",VLOOKUP($C243,授業リスト!$A:$J,5,FALSE),"")</f>
        <v/>
      </c>
      <c r="I243" t="str">
        <f>IF($C243&lt;&gt;"",VLOOKUP($C243,授業リスト!$A:$J,6,FALSE),"")</f>
        <v/>
      </c>
      <c r="J243" t="str">
        <f>IF($C243&lt;&gt;"",VLOOKUP($C243,授業リスト!$A:$J,7,FALSE),"")</f>
        <v/>
      </c>
      <c r="K243" s="30" t="str">
        <f>IF($C243&lt;&gt;"",VLOOKUP($C243,授業リスト!$A:$J,9,FALSE),"")</f>
        <v/>
      </c>
      <c r="L243" s="99">
        <v>5</v>
      </c>
      <c r="M243" s="100"/>
      <c r="N243" s="100"/>
      <c r="O243" s="100"/>
      <c r="P243" s="100"/>
      <c r="Q243" s="100"/>
      <c r="R243" s="96"/>
    </row>
    <row r="244" spans="1:18">
      <c r="A244">
        <v>5</v>
      </c>
      <c r="B244" t="s">
        <v>47</v>
      </c>
      <c r="C244" s="87"/>
      <c r="D244" t="str">
        <f>IF($C244&lt;&gt;"",VLOOKUP($C244,授業リスト!$A:$J,2,FALSE),"")</f>
        <v/>
      </c>
      <c r="E244" t="str">
        <f>IF($C244&lt;&gt;"",VLOOKUP($C244,授業リスト!$A:$J,3,FALSE),"")</f>
        <v/>
      </c>
      <c r="F244" t="str">
        <f>IF($C244&lt;&gt;"",VLOOKUP($C244,授業リスト!$A:$J,8,FALSE),"")</f>
        <v/>
      </c>
      <c r="G244" t="str">
        <f>IF($C244&lt;&gt;"",VLOOKUP($C244,授業リスト!$A:$J,4,FALSE),"")</f>
        <v/>
      </c>
      <c r="H244" t="str">
        <f>IF($C244&lt;&gt;"",VLOOKUP($C244,授業リスト!$A:$J,5,FALSE),"")</f>
        <v/>
      </c>
      <c r="I244" t="str">
        <f>IF($C244&lt;&gt;"",VLOOKUP($C244,授業リスト!$A:$J,6,FALSE),"")</f>
        <v/>
      </c>
      <c r="J244" t="str">
        <f>IF($C244&lt;&gt;"",VLOOKUP($C244,授業リスト!$A:$J,7,FALSE),"")</f>
        <v/>
      </c>
      <c r="K244" s="30" t="str">
        <f>IF($C244&lt;&gt;"",VLOOKUP($C244,授業リスト!$A:$J,9,FALSE),"")</f>
        <v/>
      </c>
      <c r="L244" s="99">
        <v>6</v>
      </c>
      <c r="M244" s="100"/>
      <c r="N244" s="100"/>
      <c r="O244" s="100"/>
      <c r="P244" s="100"/>
      <c r="Q244" s="100"/>
      <c r="R244" s="96"/>
    </row>
    <row r="245" spans="1:18">
      <c r="A245">
        <v>5</v>
      </c>
      <c r="B245" t="s">
        <v>47</v>
      </c>
      <c r="C245" s="87"/>
      <c r="D245" t="str">
        <f>IF($C245&lt;&gt;"",VLOOKUP($C245,授業リスト!$A:$J,2,FALSE),"")</f>
        <v/>
      </c>
      <c r="E245" t="str">
        <f>IF($C245&lt;&gt;"",VLOOKUP($C245,授業リスト!$A:$J,3,FALSE),"")</f>
        <v/>
      </c>
      <c r="F245" t="str">
        <f>IF($C245&lt;&gt;"",VLOOKUP($C245,授業リスト!$A:$J,8,FALSE),"")</f>
        <v/>
      </c>
      <c r="G245" t="str">
        <f>IF($C245&lt;&gt;"",VLOOKUP($C245,授業リスト!$A:$J,4,FALSE),"")</f>
        <v/>
      </c>
      <c r="H245" t="str">
        <f>IF($C245&lt;&gt;"",VLOOKUP($C245,授業リスト!$A:$J,5,FALSE),"")</f>
        <v/>
      </c>
      <c r="I245" t="str">
        <f>IF($C245&lt;&gt;"",VLOOKUP($C245,授業リスト!$A:$J,6,FALSE),"")</f>
        <v/>
      </c>
      <c r="J245" t="str">
        <f>IF($C245&lt;&gt;"",VLOOKUP($C245,授業リスト!$A:$J,7,FALSE),"")</f>
        <v/>
      </c>
      <c r="K245" s="30" t="str">
        <f>IF($C245&lt;&gt;"",VLOOKUP($C245,授業リスト!$A:$J,9,FALSE),"")</f>
        <v/>
      </c>
      <c r="L245" s="99" t="s">
        <v>1160</v>
      </c>
      <c r="M245" s="105"/>
      <c r="N245" s="106"/>
      <c r="O245" s="106"/>
      <c r="P245" s="106"/>
      <c r="Q245" s="107"/>
      <c r="R245" s="96"/>
    </row>
    <row r="246" spans="1:18">
      <c r="A246">
        <v>5</v>
      </c>
      <c r="B246" t="s">
        <v>47</v>
      </c>
      <c r="C246" s="87"/>
      <c r="D246" t="str">
        <f>IF($C246&lt;&gt;"",VLOOKUP($C246,授業リスト!$A:$J,2,FALSE),"")</f>
        <v/>
      </c>
      <c r="E246" t="str">
        <f>IF($C246&lt;&gt;"",VLOOKUP($C246,授業リスト!$A:$J,3,FALSE),"")</f>
        <v/>
      </c>
      <c r="F246" t="str">
        <f>IF($C246&lt;&gt;"",VLOOKUP($C246,授業リスト!$A:$J,8,FALSE),"")</f>
        <v/>
      </c>
      <c r="G246" t="str">
        <f>IF($C246&lt;&gt;"",VLOOKUP($C246,授業リスト!$A:$J,4,FALSE),"")</f>
        <v/>
      </c>
      <c r="H246" t="str">
        <f>IF($C246&lt;&gt;"",VLOOKUP($C246,授業リスト!$A:$J,5,FALSE),"")</f>
        <v/>
      </c>
      <c r="I246" t="str">
        <f>IF($C246&lt;&gt;"",VLOOKUP($C246,授業リスト!$A:$J,6,FALSE),"")</f>
        <v/>
      </c>
      <c r="J246" t="str">
        <f>IF($C246&lt;&gt;"",VLOOKUP($C246,授業リスト!$A:$J,7,FALSE),"")</f>
        <v/>
      </c>
      <c r="K246" s="30" t="str">
        <f>IF($C246&lt;&gt;"",VLOOKUP($C246,授業リスト!$A:$J,9,FALSE),"")</f>
        <v/>
      </c>
      <c r="M246" s="15"/>
      <c r="N246" s="15"/>
      <c r="O246" s="15"/>
      <c r="P246" s="15"/>
      <c r="Q246" s="15"/>
    </row>
    <row r="247" spans="1:18">
      <c r="A247">
        <v>5</v>
      </c>
      <c r="B247" t="s">
        <v>47</v>
      </c>
      <c r="C247" s="87"/>
      <c r="D247" t="str">
        <f>IF($C247&lt;&gt;"",VLOOKUP($C247,授業リスト!$A:$J,2,FALSE),"")</f>
        <v/>
      </c>
      <c r="E247" t="str">
        <f>IF($C247&lt;&gt;"",VLOOKUP($C247,授業リスト!$A:$J,3,FALSE),"")</f>
        <v/>
      </c>
      <c r="F247" t="str">
        <f>IF($C247&lt;&gt;"",VLOOKUP($C247,授業リスト!$A:$J,8,FALSE),"")</f>
        <v/>
      </c>
      <c r="G247" t="str">
        <f>IF($C247&lt;&gt;"",VLOOKUP($C247,授業リスト!$A:$J,4,FALSE),"")</f>
        <v/>
      </c>
      <c r="H247" t="str">
        <f>IF($C247&lt;&gt;"",VLOOKUP($C247,授業リスト!$A:$J,5,FALSE),"")</f>
        <v/>
      </c>
      <c r="I247" t="str">
        <f>IF($C247&lt;&gt;"",VLOOKUP($C247,授業リスト!$A:$J,6,FALSE),"")</f>
        <v/>
      </c>
      <c r="J247" t="str">
        <f>IF($C247&lt;&gt;"",VLOOKUP($C247,授業リスト!$A:$J,7,FALSE),"")</f>
        <v/>
      </c>
      <c r="K247" s="30" t="str">
        <f>IF($C247&lt;&gt;"",VLOOKUP($C247,授業リスト!$A:$J,9,FALSE),"")</f>
        <v/>
      </c>
    </row>
    <row r="248" spans="1:18">
      <c r="A248">
        <v>5</v>
      </c>
      <c r="B248" t="s">
        <v>47</v>
      </c>
      <c r="C248" s="87"/>
      <c r="D248" t="str">
        <f>IF($C248&lt;&gt;"",VLOOKUP($C248,授業リスト!$A:$J,2,FALSE),"")</f>
        <v/>
      </c>
      <c r="E248" t="str">
        <f>IF($C248&lt;&gt;"",VLOOKUP($C248,授業リスト!$A:$J,3,FALSE),"")</f>
        <v/>
      </c>
      <c r="F248" t="str">
        <f>IF($C248&lt;&gt;"",VLOOKUP($C248,授業リスト!$A:$J,8,FALSE),"")</f>
        <v/>
      </c>
      <c r="G248" t="str">
        <f>IF($C248&lt;&gt;"",VLOOKUP($C248,授業リスト!$A:$J,4,FALSE),"")</f>
        <v/>
      </c>
      <c r="H248" t="str">
        <f>IF($C248&lt;&gt;"",VLOOKUP($C248,授業リスト!$A:$J,5,FALSE),"")</f>
        <v/>
      </c>
      <c r="I248" t="str">
        <f>IF($C248&lt;&gt;"",VLOOKUP($C248,授業リスト!$A:$J,6,FALSE),"")</f>
        <v/>
      </c>
      <c r="J248" t="str">
        <f>IF($C248&lt;&gt;"",VLOOKUP($C248,授業リスト!$A:$J,7,FALSE),"")</f>
        <v/>
      </c>
      <c r="K248" s="30" t="str">
        <f>IF($C248&lt;&gt;"",VLOOKUP($C248,授業リスト!$A:$J,9,FALSE),"")</f>
        <v/>
      </c>
    </row>
    <row r="249" spans="1:18">
      <c r="A249">
        <v>5</v>
      </c>
      <c r="B249" t="s">
        <v>47</v>
      </c>
      <c r="C249" s="87"/>
      <c r="D249" t="str">
        <f>IF($C249&lt;&gt;"",VLOOKUP($C249,授業リスト!$A:$J,2,FALSE),"")</f>
        <v/>
      </c>
      <c r="E249" t="str">
        <f>IF($C249&lt;&gt;"",VLOOKUP($C249,授業リスト!$A:$J,3,FALSE),"")</f>
        <v/>
      </c>
      <c r="F249" t="str">
        <f>IF($C249&lt;&gt;"",VLOOKUP($C249,授業リスト!$A:$J,8,FALSE),"")</f>
        <v/>
      </c>
      <c r="G249" t="str">
        <f>IF($C249&lt;&gt;"",VLOOKUP($C249,授業リスト!$A:$J,4,FALSE),"")</f>
        <v/>
      </c>
      <c r="H249" t="str">
        <f>IF($C249&lt;&gt;"",VLOOKUP($C249,授業リスト!$A:$J,5,FALSE),"")</f>
        <v/>
      </c>
      <c r="I249" t="str">
        <f>IF($C249&lt;&gt;"",VLOOKUP($C249,授業リスト!$A:$J,6,FALSE),"")</f>
        <v/>
      </c>
      <c r="J249" t="str">
        <f>IF($C249&lt;&gt;"",VLOOKUP($C249,授業リスト!$A:$J,7,FALSE),"")</f>
        <v/>
      </c>
      <c r="K249" s="30" t="str">
        <f>IF($C249&lt;&gt;"",VLOOKUP($C249,授業リスト!$A:$J,9,FALSE),"")</f>
        <v/>
      </c>
    </row>
    <row r="250" spans="1:18">
      <c r="A250">
        <v>5</v>
      </c>
      <c r="B250" t="s">
        <v>47</v>
      </c>
      <c r="C250" s="87"/>
      <c r="D250" t="str">
        <f>IF($C250&lt;&gt;"",VLOOKUP($C250,授業リスト!$A:$J,2,FALSE),"")</f>
        <v/>
      </c>
      <c r="E250" t="str">
        <f>IF($C250&lt;&gt;"",VLOOKUP($C250,授業リスト!$A:$J,3,FALSE),"")</f>
        <v/>
      </c>
      <c r="F250" t="str">
        <f>IF($C250&lt;&gt;"",VLOOKUP($C250,授業リスト!$A:$J,8,FALSE),"")</f>
        <v/>
      </c>
      <c r="G250" t="str">
        <f>IF($C250&lt;&gt;"",VLOOKUP($C250,授業リスト!$A:$J,4,FALSE),"")</f>
        <v/>
      </c>
      <c r="H250" t="str">
        <f>IF($C250&lt;&gt;"",VLOOKUP($C250,授業リスト!$A:$J,5,FALSE),"")</f>
        <v/>
      </c>
      <c r="I250" t="str">
        <f>IF($C250&lt;&gt;"",VLOOKUP($C250,授業リスト!$A:$J,6,FALSE),"")</f>
        <v/>
      </c>
      <c r="J250" t="str">
        <f>IF($C250&lt;&gt;"",VLOOKUP($C250,授業リスト!$A:$J,7,FALSE),"")</f>
        <v/>
      </c>
      <c r="K250" s="30" t="str">
        <f>IF($C250&lt;&gt;"",VLOOKUP($C250,授業リスト!$A:$J,9,FALSE),"")</f>
        <v/>
      </c>
    </row>
    <row r="251" spans="1:18">
      <c r="A251">
        <v>5</v>
      </c>
      <c r="B251" t="s">
        <v>47</v>
      </c>
      <c r="C251" s="87"/>
      <c r="D251" t="str">
        <f>IF($C251&lt;&gt;"",VLOOKUP($C251,授業リスト!$A:$J,2,FALSE),"")</f>
        <v/>
      </c>
      <c r="E251" t="str">
        <f>IF($C251&lt;&gt;"",VLOOKUP($C251,授業リスト!$A:$J,3,FALSE),"")</f>
        <v/>
      </c>
      <c r="F251" t="str">
        <f>IF($C251&lt;&gt;"",VLOOKUP($C251,授業リスト!$A:$J,8,FALSE),"")</f>
        <v/>
      </c>
      <c r="G251" t="str">
        <f>IF($C251&lt;&gt;"",VLOOKUP($C251,授業リスト!$A:$J,4,FALSE),"")</f>
        <v/>
      </c>
      <c r="H251" t="str">
        <f>IF($C251&lt;&gt;"",VLOOKUP($C251,授業リスト!$A:$J,5,FALSE),"")</f>
        <v/>
      </c>
      <c r="I251" t="str">
        <f>IF($C251&lt;&gt;"",VLOOKUP($C251,授業リスト!$A:$J,6,FALSE),"")</f>
        <v/>
      </c>
      <c r="J251" t="str">
        <f>IF($C251&lt;&gt;"",VLOOKUP($C251,授業リスト!$A:$J,7,FALSE),"")</f>
        <v/>
      </c>
      <c r="K251" s="30" t="str">
        <f>IF($C251&lt;&gt;"",VLOOKUP($C251,授業リスト!$A:$J,9,FALSE),"")</f>
        <v/>
      </c>
    </row>
    <row r="252" spans="1:18">
      <c r="A252">
        <v>5</v>
      </c>
      <c r="B252" t="s">
        <v>47</v>
      </c>
      <c r="C252" s="87"/>
      <c r="D252" t="str">
        <f>IF($C252&lt;&gt;"",VLOOKUP($C252,授業リスト!$A:$J,2,FALSE),"")</f>
        <v/>
      </c>
      <c r="E252" t="str">
        <f>IF($C252&lt;&gt;"",VLOOKUP($C252,授業リスト!$A:$J,3,FALSE),"")</f>
        <v/>
      </c>
      <c r="F252" t="str">
        <f>IF($C252&lt;&gt;"",VLOOKUP($C252,授業リスト!$A:$J,8,FALSE),"")</f>
        <v/>
      </c>
      <c r="G252" t="str">
        <f>IF($C252&lt;&gt;"",VLOOKUP($C252,授業リスト!$A:$J,4,FALSE),"")</f>
        <v/>
      </c>
      <c r="H252" t="str">
        <f>IF($C252&lt;&gt;"",VLOOKUP($C252,授業リスト!$A:$J,5,FALSE),"")</f>
        <v/>
      </c>
      <c r="I252" t="str">
        <f>IF($C252&lt;&gt;"",VLOOKUP($C252,授業リスト!$A:$J,6,FALSE),"")</f>
        <v/>
      </c>
      <c r="J252" t="str">
        <f>IF($C252&lt;&gt;"",VLOOKUP($C252,授業リスト!$A:$J,7,FALSE),"")</f>
        <v/>
      </c>
      <c r="K252" s="30" t="str">
        <f>IF($C252&lt;&gt;"",VLOOKUP($C252,授業リスト!$A:$J,9,FALSE),"")</f>
        <v/>
      </c>
    </row>
    <row r="253" spans="1:18">
      <c r="A253">
        <v>5</v>
      </c>
      <c r="B253" t="s">
        <v>47</v>
      </c>
      <c r="C253" s="87"/>
      <c r="D253" t="str">
        <f>IF($C253&lt;&gt;"",VLOOKUP($C253,授業リスト!$A:$J,2,FALSE),"")</f>
        <v/>
      </c>
      <c r="E253" t="str">
        <f>IF($C253&lt;&gt;"",VLOOKUP($C253,授業リスト!$A:$J,3,FALSE),"")</f>
        <v/>
      </c>
      <c r="F253" t="str">
        <f>IF($C253&lt;&gt;"",VLOOKUP($C253,授業リスト!$A:$J,8,FALSE),"")</f>
        <v/>
      </c>
      <c r="G253" t="str">
        <f>IF($C253&lt;&gt;"",VLOOKUP($C253,授業リスト!$A:$J,4,FALSE),"")</f>
        <v/>
      </c>
      <c r="H253" t="str">
        <f>IF($C253&lt;&gt;"",VLOOKUP($C253,授業リスト!$A:$J,5,FALSE),"")</f>
        <v/>
      </c>
      <c r="I253" t="str">
        <f>IF($C253&lt;&gt;"",VLOOKUP($C253,授業リスト!$A:$J,6,FALSE),"")</f>
        <v/>
      </c>
      <c r="J253" t="str">
        <f>IF($C253&lt;&gt;"",VLOOKUP($C253,授業リスト!$A:$J,7,FALSE),"")</f>
        <v/>
      </c>
      <c r="K253" s="30" t="str">
        <f>IF($C253&lt;&gt;"",VLOOKUP($C253,授業リスト!$A:$J,9,FALSE),"")</f>
        <v/>
      </c>
    </row>
    <row r="254" spans="1:18">
      <c r="A254">
        <v>5</v>
      </c>
      <c r="B254" t="s">
        <v>47</v>
      </c>
      <c r="C254" s="87"/>
      <c r="D254" t="str">
        <f>IF($C254&lt;&gt;"",VLOOKUP($C254,授業リスト!$A:$J,2,FALSE),"")</f>
        <v/>
      </c>
      <c r="E254" t="str">
        <f>IF($C254&lt;&gt;"",VLOOKUP($C254,授業リスト!$A:$J,3,FALSE),"")</f>
        <v/>
      </c>
      <c r="F254" t="str">
        <f>IF($C254&lt;&gt;"",VLOOKUP($C254,授業リスト!$A:$J,8,FALSE),"")</f>
        <v/>
      </c>
      <c r="G254" t="str">
        <f>IF($C254&lt;&gt;"",VLOOKUP($C254,授業リスト!$A:$J,4,FALSE),"")</f>
        <v/>
      </c>
      <c r="H254" t="str">
        <f>IF($C254&lt;&gt;"",VLOOKUP($C254,授業リスト!$A:$J,5,FALSE),"")</f>
        <v/>
      </c>
      <c r="I254" t="str">
        <f>IF($C254&lt;&gt;"",VLOOKUP($C254,授業リスト!$A:$J,6,FALSE),"")</f>
        <v/>
      </c>
      <c r="J254" t="str">
        <f>IF($C254&lt;&gt;"",VLOOKUP($C254,授業リスト!$A:$J,7,FALSE),"")</f>
        <v/>
      </c>
      <c r="K254" s="30" t="str">
        <f>IF($C254&lt;&gt;"",VLOOKUP($C254,授業リスト!$A:$J,9,FALSE),"")</f>
        <v/>
      </c>
    </row>
    <row r="255" spans="1:18">
      <c r="A255">
        <v>5</v>
      </c>
      <c r="B255" t="s">
        <v>47</v>
      </c>
      <c r="C255" s="87"/>
      <c r="D255" t="str">
        <f>IF($C255&lt;&gt;"",VLOOKUP($C255,授業リスト!$A:$J,2,FALSE),"")</f>
        <v/>
      </c>
      <c r="E255" t="str">
        <f>IF($C255&lt;&gt;"",VLOOKUP($C255,授業リスト!$A:$J,3,FALSE),"")</f>
        <v/>
      </c>
      <c r="F255" t="str">
        <f>IF($C255&lt;&gt;"",VLOOKUP($C255,授業リスト!$A:$J,8,FALSE),"")</f>
        <v/>
      </c>
      <c r="G255" t="str">
        <f>IF($C255&lt;&gt;"",VLOOKUP($C255,授業リスト!$A:$J,4,FALSE),"")</f>
        <v/>
      </c>
      <c r="H255" t="str">
        <f>IF($C255&lt;&gt;"",VLOOKUP($C255,授業リスト!$A:$J,5,FALSE),"")</f>
        <v/>
      </c>
      <c r="I255" t="str">
        <f>IF($C255&lt;&gt;"",VLOOKUP($C255,授業リスト!$A:$J,6,FALSE),"")</f>
        <v/>
      </c>
      <c r="J255" t="str">
        <f>IF($C255&lt;&gt;"",VLOOKUP($C255,授業リスト!$A:$J,7,FALSE),"")</f>
        <v/>
      </c>
      <c r="K255" s="30" t="str">
        <f>IF($C255&lt;&gt;"",VLOOKUP($C255,授業リスト!$A:$J,9,FALSE),"")</f>
        <v/>
      </c>
    </row>
    <row r="256" spans="1:18">
      <c r="A256">
        <v>5</v>
      </c>
      <c r="B256" t="s">
        <v>47</v>
      </c>
      <c r="C256" s="87"/>
      <c r="D256" t="str">
        <f>IF($C256&lt;&gt;"",VLOOKUP($C256,授業リスト!$A:$J,2,FALSE),"")</f>
        <v/>
      </c>
      <c r="E256" t="str">
        <f>IF($C256&lt;&gt;"",VLOOKUP($C256,授業リスト!$A:$J,3,FALSE),"")</f>
        <v/>
      </c>
      <c r="F256" t="str">
        <f>IF($C256&lt;&gt;"",VLOOKUP($C256,授業リスト!$A:$J,8,FALSE),"")</f>
        <v/>
      </c>
      <c r="G256" t="str">
        <f>IF($C256&lt;&gt;"",VLOOKUP($C256,授業リスト!$A:$J,4,FALSE),"")</f>
        <v/>
      </c>
      <c r="H256" t="str">
        <f>IF($C256&lt;&gt;"",VLOOKUP($C256,授業リスト!$A:$J,5,FALSE),"")</f>
        <v/>
      </c>
      <c r="I256" t="str">
        <f>IF($C256&lt;&gt;"",VLOOKUP($C256,授業リスト!$A:$J,6,FALSE),"")</f>
        <v/>
      </c>
      <c r="J256" t="str">
        <f>IF($C256&lt;&gt;"",VLOOKUP($C256,授業リスト!$A:$J,7,FALSE),"")</f>
        <v/>
      </c>
      <c r="K256" s="30" t="str">
        <f>IF($C256&lt;&gt;"",VLOOKUP($C256,授業リスト!$A:$J,9,FALSE),"")</f>
        <v/>
      </c>
    </row>
    <row r="257" spans="1:17">
      <c r="A257">
        <v>5</v>
      </c>
      <c r="B257" t="s">
        <v>47</v>
      </c>
      <c r="C257" s="87"/>
      <c r="D257" t="str">
        <f>IF($C257&lt;&gt;"",VLOOKUP($C257,授業リスト!$A:$J,2,FALSE),"")</f>
        <v/>
      </c>
      <c r="E257" t="str">
        <f>IF($C257&lt;&gt;"",VLOOKUP($C257,授業リスト!$A:$J,3,FALSE),"")</f>
        <v/>
      </c>
      <c r="F257" t="str">
        <f>IF($C257&lt;&gt;"",VLOOKUP($C257,授業リスト!$A:$J,8,FALSE),"")</f>
        <v/>
      </c>
      <c r="G257" t="str">
        <f>IF($C257&lt;&gt;"",VLOOKUP($C257,授業リスト!$A:$J,4,FALSE),"")</f>
        <v/>
      </c>
      <c r="H257" t="str">
        <f>IF($C257&lt;&gt;"",VLOOKUP($C257,授業リスト!$A:$J,5,FALSE),"")</f>
        <v/>
      </c>
      <c r="I257" t="str">
        <f>IF($C257&lt;&gt;"",VLOOKUP($C257,授業リスト!$A:$J,6,FALSE),"")</f>
        <v/>
      </c>
      <c r="J257" t="str">
        <f>IF($C257&lt;&gt;"",VLOOKUP($C257,授業リスト!$A:$J,7,FALSE),"")</f>
        <v/>
      </c>
      <c r="K257" s="30" t="str">
        <f>IF($C257&lt;&gt;"",VLOOKUP($C257,授業リスト!$A:$J,9,FALSE),"")</f>
        <v/>
      </c>
    </row>
    <row r="258" spans="1:17" ht="21">
      <c r="A258">
        <v>5</v>
      </c>
      <c r="B258" t="s">
        <v>47</v>
      </c>
      <c r="C258" s="87"/>
      <c r="D258" t="str">
        <f>IF($C258&lt;&gt;"",VLOOKUP($C258,授業リスト!$A:$J,2,FALSE),"")</f>
        <v/>
      </c>
      <c r="E258" t="str">
        <f>IF($C258&lt;&gt;"",VLOOKUP($C258,授業リスト!$A:$J,3,FALSE),"")</f>
        <v/>
      </c>
      <c r="F258" t="str">
        <f>IF($C258&lt;&gt;"",VLOOKUP($C258,授業リスト!$A:$J,8,FALSE),"")</f>
        <v/>
      </c>
      <c r="G258" t="str">
        <f>IF($C258&lt;&gt;"",VLOOKUP($C258,授業リスト!$A:$J,4,FALSE),"")</f>
        <v/>
      </c>
      <c r="H258" t="str">
        <f>IF($C258&lt;&gt;"",VLOOKUP($C258,授業リスト!$A:$J,5,FALSE),"")</f>
        <v/>
      </c>
      <c r="I258" t="str">
        <f>IF($C258&lt;&gt;"",VLOOKUP($C258,授業リスト!$A:$J,6,FALSE),"")</f>
        <v/>
      </c>
      <c r="J258" t="str">
        <f>IF($C258&lt;&gt;"",VLOOKUP($C258,授業リスト!$A:$J,7,FALSE),"")</f>
        <v/>
      </c>
      <c r="K258" s="30" t="str">
        <f>IF($C258&lt;&gt;"",VLOOKUP($C258,授業リスト!$A:$J,9,FALSE),"")</f>
        <v/>
      </c>
      <c r="M258" s="24" t="s">
        <v>1113</v>
      </c>
    </row>
    <row r="259" spans="1:17" ht="18" thickBot="1">
      <c r="A259">
        <v>5</v>
      </c>
      <c r="B259" t="s">
        <v>47</v>
      </c>
      <c r="C259" s="87"/>
      <c r="D259" t="str">
        <f>IF($C259&lt;&gt;"",VLOOKUP($C259,授業リスト!$A:$J,2,FALSE),"")</f>
        <v/>
      </c>
      <c r="E259" t="str">
        <f>IF($C259&lt;&gt;"",VLOOKUP($C259,授業リスト!$A:$J,3,FALSE),"")</f>
        <v/>
      </c>
      <c r="F259" t="str">
        <f>IF($C259&lt;&gt;"",VLOOKUP($C259,授業リスト!$A:$J,8,FALSE),"")</f>
        <v/>
      </c>
      <c r="G259" t="str">
        <f>IF($C259&lt;&gt;"",VLOOKUP($C259,授業リスト!$A:$J,4,FALSE),"")</f>
        <v/>
      </c>
      <c r="H259" t="str">
        <f>IF($C259&lt;&gt;"",VLOOKUP($C259,授業リスト!$A:$J,5,FALSE),"")</f>
        <v/>
      </c>
      <c r="I259" t="str">
        <f>IF($C259&lt;&gt;"",VLOOKUP($C259,授業リスト!$A:$J,6,FALSE),"")</f>
        <v/>
      </c>
      <c r="J259" t="str">
        <f>IF($C259&lt;&gt;"",VLOOKUP($C259,授業リスト!$A:$J,7,FALSE),"")</f>
        <v/>
      </c>
      <c r="K259" s="30" t="str">
        <f>IF($C259&lt;&gt;"",VLOOKUP($C259,授業リスト!$A:$J,9,FALSE),"")</f>
        <v/>
      </c>
    </row>
    <row r="260" spans="1:17" ht="18" thickBot="1">
      <c r="A260">
        <v>5</v>
      </c>
      <c r="B260" t="s">
        <v>47</v>
      </c>
      <c r="C260" s="87"/>
      <c r="D260" t="str">
        <f>IF($C260&lt;&gt;"",VLOOKUP($C260,授業リスト!$A:$J,2,FALSE),"")</f>
        <v/>
      </c>
      <c r="E260" t="str">
        <f>IF($C260&lt;&gt;"",VLOOKUP($C260,授業リスト!$A:$J,3,FALSE),"")</f>
        <v/>
      </c>
      <c r="F260" t="str">
        <f>IF($C260&lt;&gt;"",VLOOKUP($C260,授業リスト!$A:$J,8,FALSE),"")</f>
        <v/>
      </c>
      <c r="G260" t="str">
        <f>IF($C260&lt;&gt;"",VLOOKUP($C260,授業リスト!$A:$J,4,FALSE),"")</f>
        <v/>
      </c>
      <c r="H260" t="str">
        <f>IF($C260&lt;&gt;"",VLOOKUP($C260,授業リスト!$A:$J,5,FALSE),"")</f>
        <v/>
      </c>
      <c r="I260" t="str">
        <f>IF($C260&lt;&gt;"",VLOOKUP($C260,授業リスト!$A:$J,6,FALSE),"")</f>
        <v/>
      </c>
      <c r="J260" t="str">
        <f>IF($C260&lt;&gt;"",VLOOKUP($C260,授業リスト!$A:$J,7,FALSE),"")</f>
        <v/>
      </c>
      <c r="K260" s="30" t="str">
        <f>IF($C260&lt;&gt;"",VLOOKUP($C260,授業リスト!$A:$J,9,FALSE),"")</f>
        <v/>
      </c>
      <c r="M260" s="25"/>
      <c r="N260" s="26"/>
    </row>
    <row r="261" spans="1:17">
      <c r="A261">
        <v>5</v>
      </c>
      <c r="B261" t="s">
        <v>47</v>
      </c>
      <c r="C261" s="87"/>
      <c r="D261" t="str">
        <f>IF($C261&lt;&gt;"",VLOOKUP($C261,授業リスト!$A:$J,2,FALSE),"")</f>
        <v/>
      </c>
      <c r="E261" t="str">
        <f>IF($C261&lt;&gt;"",VLOOKUP($C261,授業リスト!$A:$J,3,FALSE),"")</f>
        <v/>
      </c>
      <c r="F261" t="str">
        <f>IF($C261&lt;&gt;"",VLOOKUP($C261,授業リスト!$A:$J,8,FALSE),"")</f>
        <v/>
      </c>
      <c r="G261" t="str">
        <f>IF($C261&lt;&gt;"",VLOOKUP($C261,授業リスト!$A:$J,4,FALSE),"")</f>
        <v/>
      </c>
      <c r="H261" t="str">
        <f>IF($C261&lt;&gt;"",VLOOKUP($C261,授業リスト!$A:$J,5,FALSE),"")</f>
        <v/>
      </c>
      <c r="I261" t="str">
        <f>IF($C261&lt;&gt;"",VLOOKUP($C261,授業リスト!$A:$J,6,FALSE),"")</f>
        <v/>
      </c>
      <c r="J261" t="str">
        <f>IF($C261&lt;&gt;"",VLOOKUP($C261,授業リスト!$A:$J,7,FALSE),"")</f>
        <v/>
      </c>
      <c r="K261" s="30" t="str">
        <f>IF($C261&lt;&gt;"",VLOOKUP($C261,授業リスト!$A:$J,9,FALSE),"")</f>
        <v/>
      </c>
    </row>
    <row r="262" spans="1:17">
      <c r="A262">
        <v>5</v>
      </c>
      <c r="B262" t="s">
        <v>47</v>
      </c>
      <c r="C262" s="87"/>
      <c r="D262" t="str">
        <f>IF($C262&lt;&gt;"",VLOOKUP($C262,授業リスト!$A:$J,2,FALSE),"")</f>
        <v/>
      </c>
      <c r="E262" t="str">
        <f>IF($C262&lt;&gt;"",VLOOKUP($C262,授業リスト!$A:$J,3,FALSE),"")</f>
        <v/>
      </c>
      <c r="F262" t="str">
        <f>IF($C262&lt;&gt;"",VLOOKUP($C262,授業リスト!$A:$J,8,FALSE),"")</f>
        <v/>
      </c>
      <c r="G262" t="str">
        <f>IF($C262&lt;&gt;"",VLOOKUP($C262,授業リスト!$A:$J,4,FALSE),"")</f>
        <v/>
      </c>
      <c r="H262" t="str">
        <f>IF($C262&lt;&gt;"",VLOOKUP($C262,授業リスト!$A:$J,5,FALSE),"")</f>
        <v/>
      </c>
      <c r="I262" t="str">
        <f>IF($C262&lt;&gt;"",VLOOKUP($C262,授業リスト!$A:$J,6,FALSE),"")</f>
        <v/>
      </c>
      <c r="J262" t="str">
        <f>IF($C262&lt;&gt;"",VLOOKUP($C262,授業リスト!$A:$J,7,FALSE),"")</f>
        <v/>
      </c>
      <c r="K262" s="30" t="str">
        <f>IF($C262&lt;&gt;"",VLOOKUP($C262,授業リスト!$A:$J,9,FALSE),"")</f>
        <v/>
      </c>
    </row>
    <row r="263" spans="1:17">
      <c r="A263" s="1">
        <v>5</v>
      </c>
      <c r="B263" s="1" t="s">
        <v>47</v>
      </c>
      <c r="C263" s="88"/>
      <c r="D263" s="1" t="str">
        <f>IF($C263&lt;&gt;"",VLOOKUP($C263,授業リスト!$A:$J,2,FALSE),"")</f>
        <v/>
      </c>
      <c r="E263" s="1" t="str">
        <f>IF($C263&lt;&gt;"",VLOOKUP($C263,授業リスト!$A:$J,3,FALSE),"")</f>
        <v/>
      </c>
      <c r="F263" s="1" t="str">
        <f>IF($C263&lt;&gt;"",VLOOKUP($C263,授業リスト!$A:$J,8,FALSE),"")</f>
        <v/>
      </c>
      <c r="G263" s="1" t="str">
        <f>IF($C263&lt;&gt;"",VLOOKUP($C263,授業リスト!$A:$J,4,FALSE),"")</f>
        <v/>
      </c>
      <c r="H263" s="1" t="str">
        <f>IF($C263&lt;&gt;"",VLOOKUP($C263,授業リスト!$A:$J,5,FALSE),"")</f>
        <v/>
      </c>
      <c r="I263" s="1" t="str">
        <f>IF($C263&lt;&gt;"",VLOOKUP($C263,授業リスト!$A:$J,6,FALSE),"")</f>
        <v/>
      </c>
      <c r="J263" s="1" t="str">
        <f>IF($C263&lt;&gt;"",VLOOKUP($C263,授業リスト!$A:$J,7,FALSE),"")</f>
        <v/>
      </c>
      <c r="K263" s="31" t="str">
        <f>IF($C263&lt;&gt;"",VLOOKUP($C263,授業リスト!$A:$J,9,FALSE),"")</f>
        <v/>
      </c>
    </row>
    <row r="265" spans="1:17">
      <c r="M265" s="15"/>
      <c r="N265" s="15"/>
      <c r="O265" s="15"/>
      <c r="P265" s="15"/>
      <c r="Q265" s="15"/>
    </row>
    <row r="266" spans="1:17">
      <c r="M266" s="15"/>
      <c r="N266" s="15"/>
      <c r="O266" s="15"/>
      <c r="P266" s="15"/>
      <c r="Q266" s="15"/>
    </row>
    <row r="267" spans="1:17">
      <c r="M267" s="15"/>
      <c r="N267" s="15"/>
      <c r="O267" s="15"/>
      <c r="P267" s="15"/>
      <c r="Q267" s="15"/>
    </row>
    <row r="268" spans="1:17">
      <c r="M268" s="15"/>
      <c r="N268" s="15"/>
      <c r="O268" s="15"/>
      <c r="P268" s="15"/>
      <c r="Q268" s="15"/>
    </row>
    <row r="269" spans="1:17">
      <c r="M269" s="15"/>
      <c r="N269" s="15"/>
      <c r="O269" s="15"/>
      <c r="P269" s="15"/>
      <c r="Q269" s="15"/>
    </row>
    <row r="270" spans="1:17">
      <c r="M270" s="15"/>
      <c r="N270" s="15"/>
      <c r="O270" s="15"/>
      <c r="P270" s="15"/>
      <c r="Q270" s="15"/>
    </row>
    <row r="271" spans="1:17">
      <c r="M271" s="15"/>
      <c r="N271" s="15"/>
      <c r="O271" s="15"/>
      <c r="P271" s="15"/>
      <c r="Q271" s="15"/>
    </row>
    <row r="272" spans="1:17">
      <c r="M272" s="15"/>
      <c r="N272" s="15"/>
      <c r="O272" s="15"/>
      <c r="P272" s="15"/>
      <c r="Q272" s="15"/>
    </row>
  </sheetData>
  <sheetProtection sheet="1" objects="1" scenarios="1"/>
  <dataConsolidate/>
  <mergeCells count="14">
    <mergeCell ref="M193:Q193"/>
    <mergeCell ref="M219:Q219"/>
    <mergeCell ref="M245:Q245"/>
    <mergeCell ref="M63:Q63"/>
    <mergeCell ref="M37:Q37"/>
    <mergeCell ref="M89:Q89"/>
    <mergeCell ref="M115:Q115"/>
    <mergeCell ref="M141:Q141"/>
    <mergeCell ref="M167:Q167"/>
    <mergeCell ref="J1:K1"/>
    <mergeCell ref="O2:P2"/>
    <mergeCell ref="O1:P1"/>
    <mergeCell ref="M11:Q11"/>
    <mergeCell ref="A1:C1"/>
  </mergeCells>
  <phoneticPr fontId="6"/>
  <conditionalFormatting sqref="K2 D2 F2 Q1">
    <cfRule type="containsText" dxfId="38" priority="19" operator="containsText" text="OK">
      <formula>NOT(ISERROR(SEARCH("OK",D1)))</formula>
    </cfRule>
    <cfRule type="containsText" dxfId="37" priority="20" operator="containsText" text="NG">
      <formula>NOT(ISERROR(SEARCH("NG",D1)))</formula>
    </cfRule>
  </conditionalFormatting>
  <conditionalFormatting sqref="T1">
    <cfRule type="containsText" dxfId="36" priority="15" operator="containsText" text="OK">
      <formula>NOT(ISERROR(SEARCH("OK",T1)))</formula>
    </cfRule>
    <cfRule type="containsText" dxfId="35" priority="16" operator="containsText" text="NG">
      <formula>NOT(ISERROR(SEARCH("NG",T1)))</formula>
    </cfRule>
  </conditionalFormatting>
  <conditionalFormatting sqref="T2">
    <cfRule type="expression" dxfId="34" priority="13" stopIfTrue="1">
      <formula>IF($T$2&gt;133,TRUE,FALSE)</formula>
    </cfRule>
    <cfRule type="expression" dxfId="33" priority="14">
      <formula>IF(T2&lt;134,TRUE,FALSE)</formula>
    </cfRule>
  </conditionalFormatting>
  <conditionalFormatting sqref="H4:H29">
    <cfRule type="containsText" dxfId="32" priority="12" operator="containsText" text="後">
      <formula>NOT(ISERROR(SEARCH("後",H4)))</formula>
    </cfRule>
  </conditionalFormatting>
  <conditionalFormatting sqref="H30:H55">
    <cfRule type="containsText" dxfId="31" priority="11" operator="containsText" text="前">
      <formula>NOT(ISERROR(SEARCH("前",H30)))</formula>
    </cfRule>
  </conditionalFormatting>
  <conditionalFormatting sqref="H56:H81">
    <cfRule type="containsText" dxfId="30" priority="10" operator="containsText" text="後">
      <formula>NOT(ISERROR(SEARCH("後",H56)))</formula>
    </cfRule>
  </conditionalFormatting>
  <conditionalFormatting sqref="H82:H107">
    <cfRule type="containsText" dxfId="29" priority="9" operator="containsText" text="前">
      <formula>NOT(ISERROR(SEARCH("前",H82)))</formula>
    </cfRule>
  </conditionalFormatting>
  <conditionalFormatting sqref="H108:H133">
    <cfRule type="containsText" dxfId="28" priority="8" operator="containsText" text="後">
      <formula>NOT(ISERROR(SEARCH("後",H108)))</formula>
    </cfRule>
  </conditionalFormatting>
  <conditionalFormatting sqref="H134:H159">
    <cfRule type="containsText" dxfId="27" priority="7" operator="containsText" text="前">
      <formula>NOT(ISERROR(SEARCH("前",H134)))</formula>
    </cfRule>
  </conditionalFormatting>
  <conditionalFormatting sqref="H160:H185">
    <cfRule type="containsText" dxfId="26" priority="6" operator="containsText" text="後">
      <formula>NOT(ISERROR(SEARCH("後",H160)))</formula>
    </cfRule>
  </conditionalFormatting>
  <conditionalFormatting sqref="H186:H211">
    <cfRule type="containsText" dxfId="25" priority="5" operator="containsText" text="前">
      <formula>NOT(ISERROR(SEARCH("前",H186)))</formula>
    </cfRule>
  </conditionalFormatting>
  <conditionalFormatting sqref="W2">
    <cfRule type="containsText" dxfId="24" priority="3" operator="containsText" text="OK">
      <formula>NOT(ISERROR(SEARCH("OK",W2)))</formula>
    </cfRule>
    <cfRule type="containsText" dxfId="23" priority="4" operator="containsText" text="NG">
      <formula>NOT(ISERROR(SEARCH("NG",W2)))</formula>
    </cfRule>
  </conditionalFormatting>
  <conditionalFormatting sqref="Q2">
    <cfRule type="containsText" dxfId="22" priority="1" operator="containsText" text="OK">
      <formula>NOT(ISERROR(SEARCH("OK",Q2)))</formula>
    </cfRule>
    <cfRule type="containsText" dxfId="21" priority="2" operator="containsText" text="NG">
      <formula>NOT(ISERROR(SEARCH("NG",Q2)))</formula>
    </cfRule>
  </conditionalFormatting>
  <dataValidations count="2">
    <dataValidation type="list" allowBlank="1" showInputMessage="1" showErrorMessage="1" sqref="N2" xr:uid="{00000000-0002-0000-0300-000000000000}">
      <formula1>"1学期,１年間,短期"</formula1>
    </dataValidation>
    <dataValidation type="list" allowBlank="1" showInputMessage="1" showErrorMessage="1" sqref="I1" xr:uid="{00000000-0002-0000-0300-000001000000}">
      <formula1>"札幌校,旭川校,釧路校"</formula1>
    </dataValidation>
  </dataValidations>
  <pageMargins left="0.70866141732283472" right="0.70866141732283472" top="0.74803149606299213" bottom="0.74803149606299213" header="0.31496062992125984" footer="0.31496062992125984"/>
  <pageSetup paperSize="9" scale="47" fitToHeight="5" orientation="landscape" r:id="rId1"/>
  <rowBreaks count="4" manualBreakCount="4">
    <brk id="55" max="16383" man="1"/>
    <brk id="107" max="16383" man="1"/>
    <brk id="159" max="16383" man="1"/>
    <brk id="211" max="16383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3000000}">
          <x14:formula1>
            <xm:f>専攻一覧!B3:B17</xm:f>
          </x14:formula1>
          <xm:sqref>L1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Z605"/>
  <sheetViews>
    <sheetView topLeftCell="J1" workbookViewId="0">
      <pane ySplit="1" topLeftCell="A152" activePane="bottomLeft" state="frozen"/>
      <selection pane="bottomLeft" activeCell="Z159" sqref="Z159"/>
    </sheetView>
  </sheetViews>
  <sheetFormatPr baseColWidth="10" defaultColWidth="13" defaultRowHeight="16"/>
  <cols>
    <col min="1" max="1" width="14.5" bestFit="1" customWidth="1"/>
    <col min="2" max="2" width="30.5" bestFit="1" customWidth="1"/>
    <col min="3" max="3" width="20.33203125" bestFit="1" customWidth="1"/>
    <col min="14" max="14" width="9.1640625" bestFit="1" customWidth="1"/>
    <col min="16" max="16" width="9.1640625" bestFit="1" customWidth="1"/>
    <col min="18" max="18" width="9.1640625" bestFit="1" customWidth="1"/>
    <col min="20" max="20" width="7.1640625" bestFit="1" customWidth="1"/>
    <col min="21" max="22" width="9.1640625" bestFit="1" customWidth="1"/>
  </cols>
  <sheetData>
    <row r="1" spans="1:22" ht="34">
      <c r="A1" s="5" t="s">
        <v>0</v>
      </c>
      <c r="B1" s="5" t="s">
        <v>1</v>
      </c>
      <c r="C1" s="5" t="s">
        <v>135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N1" t="s">
        <v>654</v>
      </c>
      <c r="O1" t="s">
        <v>254</v>
      </c>
      <c r="P1" t="s">
        <v>255</v>
      </c>
      <c r="Q1" t="s">
        <v>169</v>
      </c>
      <c r="R1" t="s">
        <v>332</v>
      </c>
      <c r="S1" t="s">
        <v>249</v>
      </c>
      <c r="T1" t="s">
        <v>345</v>
      </c>
      <c r="U1" t="s">
        <v>346</v>
      </c>
      <c r="V1" t="s">
        <v>347</v>
      </c>
    </row>
    <row r="2" spans="1:22" ht="20">
      <c r="A2" s="46">
        <v>37001</v>
      </c>
      <c r="B2" s="45" t="s">
        <v>567</v>
      </c>
      <c r="C2" s="45" t="s">
        <v>412</v>
      </c>
      <c r="D2" s="47">
        <v>2</v>
      </c>
      <c r="E2" s="47" t="s">
        <v>413</v>
      </c>
      <c r="F2" s="47" t="s">
        <v>414</v>
      </c>
      <c r="G2" s="47">
        <v>3</v>
      </c>
      <c r="H2" s="90" t="s">
        <v>572</v>
      </c>
      <c r="I2" s="48">
        <v>2</v>
      </c>
      <c r="J2" s="47" t="s">
        <v>203</v>
      </c>
      <c r="N2" t="s">
        <v>256</v>
      </c>
      <c r="P2" t="s">
        <v>90</v>
      </c>
      <c r="Q2" t="s">
        <v>90</v>
      </c>
      <c r="R2" t="s">
        <v>90</v>
      </c>
      <c r="S2" t="s">
        <v>90</v>
      </c>
      <c r="T2" t="s">
        <v>90</v>
      </c>
      <c r="U2" t="s">
        <v>90</v>
      </c>
      <c r="V2" t="s">
        <v>90</v>
      </c>
    </row>
    <row r="3" spans="1:22" ht="20">
      <c r="A3" s="46">
        <v>37002</v>
      </c>
      <c r="B3" s="45" t="s">
        <v>567</v>
      </c>
      <c r="C3" s="45" t="s">
        <v>415</v>
      </c>
      <c r="D3" s="47">
        <v>2</v>
      </c>
      <c r="E3" s="47" t="s">
        <v>416</v>
      </c>
      <c r="F3" s="47" t="s">
        <v>417</v>
      </c>
      <c r="G3" s="47">
        <v>3</v>
      </c>
      <c r="H3" s="90" t="s">
        <v>573</v>
      </c>
      <c r="I3" s="48">
        <v>2</v>
      </c>
      <c r="J3" s="47" t="s">
        <v>203</v>
      </c>
      <c r="N3" t="s">
        <v>256</v>
      </c>
      <c r="O3" t="s">
        <v>90</v>
      </c>
      <c r="P3" t="s">
        <v>90</v>
      </c>
      <c r="Q3" t="s">
        <v>90</v>
      </c>
      <c r="R3" t="s">
        <v>90</v>
      </c>
      <c r="S3" t="s">
        <v>90</v>
      </c>
      <c r="T3" t="s">
        <v>90</v>
      </c>
      <c r="U3" t="s">
        <v>90</v>
      </c>
      <c r="V3" t="s">
        <v>90</v>
      </c>
    </row>
    <row r="4" spans="1:22" ht="20">
      <c r="A4" s="54">
        <v>37003</v>
      </c>
      <c r="B4" s="55" t="s">
        <v>564</v>
      </c>
      <c r="C4" s="55" t="s">
        <v>68</v>
      </c>
      <c r="D4" s="56">
        <v>1</v>
      </c>
      <c r="E4" s="56" t="s">
        <v>69</v>
      </c>
      <c r="F4" s="56" t="s">
        <v>418</v>
      </c>
      <c r="G4" s="56">
        <v>2</v>
      </c>
      <c r="H4" s="90" t="s">
        <v>574</v>
      </c>
      <c r="I4" s="65">
        <v>1</v>
      </c>
      <c r="J4" s="56" t="s">
        <v>203</v>
      </c>
      <c r="N4" t="s">
        <v>256</v>
      </c>
      <c r="O4" t="s">
        <v>90</v>
      </c>
      <c r="P4" t="s">
        <v>90</v>
      </c>
      <c r="Q4" t="s">
        <v>90</v>
      </c>
      <c r="R4" t="s">
        <v>90</v>
      </c>
      <c r="S4" t="s">
        <v>90</v>
      </c>
      <c r="T4" t="s">
        <v>90</v>
      </c>
      <c r="U4" t="s">
        <v>90</v>
      </c>
      <c r="V4" t="s">
        <v>90</v>
      </c>
    </row>
    <row r="5" spans="1:22" ht="20">
      <c r="A5" s="54">
        <v>37004</v>
      </c>
      <c r="B5" s="55" t="s">
        <v>564</v>
      </c>
      <c r="C5" s="55" t="s">
        <v>70</v>
      </c>
      <c r="D5" s="56">
        <v>1</v>
      </c>
      <c r="E5" s="56" t="s">
        <v>69</v>
      </c>
      <c r="F5" s="56" t="s">
        <v>418</v>
      </c>
      <c r="G5" s="56">
        <v>2</v>
      </c>
      <c r="H5" s="90" t="s">
        <v>575</v>
      </c>
      <c r="I5" s="65">
        <v>1</v>
      </c>
      <c r="J5" s="56" t="s">
        <v>203</v>
      </c>
      <c r="N5" t="s">
        <v>256</v>
      </c>
      <c r="O5" t="s">
        <v>90</v>
      </c>
      <c r="P5" t="s">
        <v>90</v>
      </c>
      <c r="Q5" t="s">
        <v>90</v>
      </c>
      <c r="R5" t="s">
        <v>90</v>
      </c>
      <c r="S5" t="s">
        <v>90</v>
      </c>
      <c r="T5" t="s">
        <v>90</v>
      </c>
      <c r="U5" t="s">
        <v>90</v>
      </c>
      <c r="V5" t="s">
        <v>90</v>
      </c>
    </row>
    <row r="6" spans="1:22" ht="20">
      <c r="A6" s="54">
        <v>37005</v>
      </c>
      <c r="B6" s="55" t="s">
        <v>564</v>
      </c>
      <c r="C6" s="55" t="s">
        <v>71</v>
      </c>
      <c r="D6" s="56">
        <v>1</v>
      </c>
      <c r="E6" s="56" t="s">
        <v>69</v>
      </c>
      <c r="F6" s="56" t="s">
        <v>418</v>
      </c>
      <c r="G6" s="56">
        <v>3</v>
      </c>
      <c r="H6" s="90" t="s">
        <v>576</v>
      </c>
      <c r="I6" s="65">
        <v>1</v>
      </c>
      <c r="J6" s="56" t="s">
        <v>203</v>
      </c>
      <c r="N6" t="s">
        <v>256</v>
      </c>
      <c r="O6" t="s">
        <v>90</v>
      </c>
      <c r="P6" t="s">
        <v>90</v>
      </c>
      <c r="Q6" t="s">
        <v>90</v>
      </c>
      <c r="R6" t="s">
        <v>90</v>
      </c>
      <c r="S6" t="s">
        <v>90</v>
      </c>
      <c r="T6" t="s">
        <v>90</v>
      </c>
      <c r="U6" t="s">
        <v>90</v>
      </c>
      <c r="V6" t="s">
        <v>90</v>
      </c>
    </row>
    <row r="7" spans="1:22" ht="20">
      <c r="A7" s="46">
        <v>37006</v>
      </c>
      <c r="B7" s="55" t="s">
        <v>564</v>
      </c>
      <c r="C7" s="45" t="s">
        <v>72</v>
      </c>
      <c r="D7" s="47">
        <v>1</v>
      </c>
      <c r="E7" s="47" t="s">
        <v>69</v>
      </c>
      <c r="F7" s="47" t="s">
        <v>418</v>
      </c>
      <c r="G7" s="47">
        <v>3</v>
      </c>
      <c r="H7" s="90" t="s">
        <v>577</v>
      </c>
      <c r="I7" s="48">
        <v>1</v>
      </c>
      <c r="J7" s="47" t="s">
        <v>203</v>
      </c>
      <c r="N7" t="s">
        <v>256</v>
      </c>
      <c r="O7" t="s">
        <v>90</v>
      </c>
      <c r="P7" t="s">
        <v>90</v>
      </c>
      <c r="Q7" t="s">
        <v>90</v>
      </c>
      <c r="R7" t="s">
        <v>90</v>
      </c>
      <c r="S7" t="s">
        <v>90</v>
      </c>
      <c r="T7" t="s">
        <v>90</v>
      </c>
      <c r="U7" t="s">
        <v>90</v>
      </c>
      <c r="V7" t="s">
        <v>90</v>
      </c>
    </row>
    <row r="8" spans="1:22" ht="20">
      <c r="A8" s="46">
        <v>37007</v>
      </c>
      <c r="B8" s="55" t="s">
        <v>564</v>
      </c>
      <c r="C8" s="45" t="s">
        <v>73</v>
      </c>
      <c r="D8" s="47">
        <v>1</v>
      </c>
      <c r="E8" s="47" t="s">
        <v>69</v>
      </c>
      <c r="F8" s="47" t="s">
        <v>419</v>
      </c>
      <c r="G8" s="47">
        <v>3</v>
      </c>
      <c r="H8" s="90" t="s">
        <v>578</v>
      </c>
      <c r="I8" s="48">
        <v>1</v>
      </c>
      <c r="J8" s="47" t="s">
        <v>203</v>
      </c>
      <c r="N8" t="s">
        <v>256</v>
      </c>
      <c r="O8" t="s">
        <v>90</v>
      </c>
      <c r="P8" t="s">
        <v>90</v>
      </c>
      <c r="Q8" t="s">
        <v>90</v>
      </c>
      <c r="R8" t="s">
        <v>90</v>
      </c>
      <c r="S8" t="s">
        <v>90</v>
      </c>
      <c r="T8" t="s">
        <v>90</v>
      </c>
      <c r="U8" t="s">
        <v>90</v>
      </c>
      <c r="V8" t="s">
        <v>90</v>
      </c>
    </row>
    <row r="9" spans="1:22" ht="20">
      <c r="A9" s="46">
        <v>37008</v>
      </c>
      <c r="B9" s="55" t="s">
        <v>564</v>
      </c>
      <c r="C9" s="45" t="s">
        <v>74</v>
      </c>
      <c r="D9" s="47">
        <v>1</v>
      </c>
      <c r="E9" s="47" t="s">
        <v>69</v>
      </c>
      <c r="F9" s="47" t="s">
        <v>419</v>
      </c>
      <c r="G9" s="47">
        <v>3</v>
      </c>
      <c r="H9" s="90" t="s">
        <v>579</v>
      </c>
      <c r="I9" s="48">
        <v>1</v>
      </c>
      <c r="J9" s="47" t="s">
        <v>203</v>
      </c>
      <c r="N9" t="s">
        <v>256</v>
      </c>
      <c r="O9" t="s">
        <v>90</v>
      </c>
      <c r="P9" t="s">
        <v>90</v>
      </c>
      <c r="Q9" t="s">
        <v>90</v>
      </c>
      <c r="R9" t="s">
        <v>90</v>
      </c>
      <c r="S9" t="s">
        <v>90</v>
      </c>
      <c r="T9" t="s">
        <v>90</v>
      </c>
      <c r="U9" t="s">
        <v>90</v>
      </c>
      <c r="V9" t="s">
        <v>90</v>
      </c>
    </row>
    <row r="10" spans="1:22" ht="20">
      <c r="A10" s="46">
        <v>37009</v>
      </c>
      <c r="B10" s="55" t="s">
        <v>564</v>
      </c>
      <c r="C10" s="45" t="s">
        <v>75</v>
      </c>
      <c r="D10" s="47">
        <v>1</v>
      </c>
      <c r="E10" s="47" t="s">
        <v>69</v>
      </c>
      <c r="F10" s="47" t="s">
        <v>419</v>
      </c>
      <c r="G10" s="47">
        <v>2</v>
      </c>
      <c r="H10" s="90" t="s">
        <v>580</v>
      </c>
      <c r="I10" s="48">
        <v>1</v>
      </c>
      <c r="J10" s="47" t="s">
        <v>203</v>
      </c>
      <c r="N10" t="s">
        <v>256</v>
      </c>
      <c r="O10" t="s">
        <v>90</v>
      </c>
      <c r="P10" t="s">
        <v>90</v>
      </c>
      <c r="Q10" t="s">
        <v>90</v>
      </c>
      <c r="R10" t="s">
        <v>90</v>
      </c>
      <c r="S10" t="s">
        <v>90</v>
      </c>
      <c r="T10" t="s">
        <v>90</v>
      </c>
      <c r="U10" t="s">
        <v>90</v>
      </c>
      <c r="V10" t="s">
        <v>90</v>
      </c>
    </row>
    <row r="11" spans="1:22" ht="20">
      <c r="A11" s="46">
        <v>37010</v>
      </c>
      <c r="B11" s="55" t="s">
        <v>564</v>
      </c>
      <c r="C11" s="45" t="s">
        <v>76</v>
      </c>
      <c r="D11" s="47">
        <v>1</v>
      </c>
      <c r="E11" s="47" t="s">
        <v>69</v>
      </c>
      <c r="F11" s="47" t="s">
        <v>419</v>
      </c>
      <c r="G11" s="47">
        <v>2</v>
      </c>
      <c r="H11" s="90" t="s">
        <v>581</v>
      </c>
      <c r="I11" s="48">
        <v>1</v>
      </c>
      <c r="J11" s="47" t="s">
        <v>203</v>
      </c>
      <c r="N11" t="s">
        <v>256</v>
      </c>
      <c r="O11" t="s">
        <v>90</v>
      </c>
      <c r="P11" t="s">
        <v>90</v>
      </c>
      <c r="Q11" t="s">
        <v>90</v>
      </c>
      <c r="R11" t="s">
        <v>90</v>
      </c>
      <c r="S11" t="s">
        <v>90</v>
      </c>
      <c r="T11" t="s">
        <v>90</v>
      </c>
      <c r="U11" t="s">
        <v>90</v>
      </c>
      <c r="V11" t="s">
        <v>90</v>
      </c>
    </row>
    <row r="12" spans="1:22" ht="20">
      <c r="A12" s="54">
        <v>37011</v>
      </c>
      <c r="B12" s="55" t="s">
        <v>565</v>
      </c>
      <c r="C12" s="55" t="s">
        <v>68</v>
      </c>
      <c r="D12" s="56">
        <v>1</v>
      </c>
      <c r="E12" s="56" t="s">
        <v>47</v>
      </c>
      <c r="F12" s="56" t="s">
        <v>418</v>
      </c>
      <c r="G12" s="56">
        <v>2</v>
      </c>
      <c r="H12" s="90" t="s">
        <v>582</v>
      </c>
      <c r="I12" s="65">
        <v>1</v>
      </c>
      <c r="J12" s="56" t="s">
        <v>203</v>
      </c>
      <c r="N12" t="s">
        <v>256</v>
      </c>
      <c r="O12" t="s">
        <v>90</v>
      </c>
      <c r="P12" t="s">
        <v>90</v>
      </c>
      <c r="Q12" t="s">
        <v>90</v>
      </c>
      <c r="R12" t="s">
        <v>90</v>
      </c>
      <c r="S12" t="s">
        <v>90</v>
      </c>
      <c r="T12" t="s">
        <v>90</v>
      </c>
      <c r="U12" t="s">
        <v>90</v>
      </c>
      <c r="V12" t="s">
        <v>90</v>
      </c>
    </row>
    <row r="13" spans="1:22" ht="20">
      <c r="A13" s="54">
        <v>37012</v>
      </c>
      <c r="B13" s="55" t="s">
        <v>565</v>
      </c>
      <c r="C13" s="55" t="s">
        <v>70</v>
      </c>
      <c r="D13" s="56">
        <v>1</v>
      </c>
      <c r="E13" s="56" t="s">
        <v>47</v>
      </c>
      <c r="F13" s="56" t="s">
        <v>418</v>
      </c>
      <c r="G13" s="56">
        <v>2</v>
      </c>
      <c r="H13" s="90" t="s">
        <v>583</v>
      </c>
      <c r="I13" s="65">
        <v>1</v>
      </c>
      <c r="J13" s="56" t="s">
        <v>203</v>
      </c>
      <c r="N13" t="s">
        <v>256</v>
      </c>
      <c r="O13" t="s">
        <v>90</v>
      </c>
      <c r="P13" t="s">
        <v>90</v>
      </c>
      <c r="Q13" t="s">
        <v>90</v>
      </c>
      <c r="R13" t="s">
        <v>90</v>
      </c>
      <c r="S13" t="s">
        <v>90</v>
      </c>
      <c r="T13" t="s">
        <v>90</v>
      </c>
      <c r="U13" t="s">
        <v>90</v>
      </c>
      <c r="V13" t="s">
        <v>90</v>
      </c>
    </row>
    <row r="14" spans="1:22" ht="20">
      <c r="A14" s="54">
        <v>37013</v>
      </c>
      <c r="B14" s="55" t="s">
        <v>565</v>
      </c>
      <c r="C14" s="55" t="s">
        <v>71</v>
      </c>
      <c r="D14" s="56">
        <v>1</v>
      </c>
      <c r="E14" s="56" t="s">
        <v>47</v>
      </c>
      <c r="F14" s="56" t="s">
        <v>418</v>
      </c>
      <c r="G14" s="56">
        <v>3</v>
      </c>
      <c r="H14" s="90" t="s">
        <v>584</v>
      </c>
      <c r="I14" s="65">
        <v>1</v>
      </c>
      <c r="J14" s="56" t="s">
        <v>203</v>
      </c>
      <c r="N14" t="s">
        <v>256</v>
      </c>
      <c r="O14" t="s">
        <v>90</v>
      </c>
      <c r="P14" t="s">
        <v>90</v>
      </c>
      <c r="Q14" t="s">
        <v>90</v>
      </c>
      <c r="R14" t="s">
        <v>90</v>
      </c>
      <c r="S14" t="s">
        <v>90</v>
      </c>
      <c r="T14" t="s">
        <v>90</v>
      </c>
      <c r="U14" t="s">
        <v>90</v>
      </c>
      <c r="V14" t="s">
        <v>90</v>
      </c>
    </row>
    <row r="15" spans="1:22" ht="20">
      <c r="A15" s="46">
        <v>37014</v>
      </c>
      <c r="B15" s="55" t="s">
        <v>565</v>
      </c>
      <c r="C15" s="45" t="s">
        <v>72</v>
      </c>
      <c r="D15" s="47">
        <v>1</v>
      </c>
      <c r="E15" s="47" t="s">
        <v>47</v>
      </c>
      <c r="F15" s="47" t="s">
        <v>418</v>
      </c>
      <c r="G15" s="47">
        <v>3</v>
      </c>
      <c r="H15" s="90" t="s">
        <v>585</v>
      </c>
      <c r="I15" s="48">
        <v>1</v>
      </c>
      <c r="J15" s="47" t="s">
        <v>203</v>
      </c>
      <c r="N15" t="s">
        <v>256</v>
      </c>
      <c r="O15" t="s">
        <v>90</v>
      </c>
      <c r="P15" t="s">
        <v>90</v>
      </c>
      <c r="Q15" t="s">
        <v>90</v>
      </c>
      <c r="R15" t="s">
        <v>90</v>
      </c>
      <c r="S15" t="s">
        <v>90</v>
      </c>
      <c r="T15" t="s">
        <v>90</v>
      </c>
      <c r="U15" t="s">
        <v>90</v>
      </c>
      <c r="V15" t="s">
        <v>90</v>
      </c>
    </row>
    <row r="16" spans="1:22" ht="20">
      <c r="A16" s="46">
        <v>37015</v>
      </c>
      <c r="B16" s="55" t="s">
        <v>565</v>
      </c>
      <c r="C16" s="45" t="s">
        <v>73</v>
      </c>
      <c r="D16" s="47">
        <v>1</v>
      </c>
      <c r="E16" s="47" t="s">
        <v>47</v>
      </c>
      <c r="F16" s="47" t="s">
        <v>419</v>
      </c>
      <c r="G16" s="47">
        <v>3</v>
      </c>
      <c r="H16" s="90" t="s">
        <v>586</v>
      </c>
      <c r="I16" s="48">
        <v>1</v>
      </c>
      <c r="J16" s="47" t="s">
        <v>203</v>
      </c>
      <c r="N16" t="s">
        <v>256</v>
      </c>
      <c r="O16" t="s">
        <v>90</v>
      </c>
      <c r="P16" t="s">
        <v>90</v>
      </c>
      <c r="Q16" t="s">
        <v>90</v>
      </c>
      <c r="R16" t="s">
        <v>90</v>
      </c>
      <c r="S16" t="s">
        <v>90</v>
      </c>
      <c r="T16" t="s">
        <v>90</v>
      </c>
      <c r="U16" t="s">
        <v>90</v>
      </c>
      <c r="V16" t="s">
        <v>90</v>
      </c>
    </row>
    <row r="17" spans="1:22" ht="20">
      <c r="A17" s="46">
        <v>37016</v>
      </c>
      <c r="B17" s="55" t="s">
        <v>565</v>
      </c>
      <c r="C17" s="45" t="s">
        <v>74</v>
      </c>
      <c r="D17" s="47">
        <v>1</v>
      </c>
      <c r="E17" s="47" t="s">
        <v>47</v>
      </c>
      <c r="F17" s="47" t="s">
        <v>419</v>
      </c>
      <c r="G17" s="47">
        <v>3</v>
      </c>
      <c r="H17" s="90" t="s">
        <v>587</v>
      </c>
      <c r="I17" s="48">
        <v>1</v>
      </c>
      <c r="J17" s="47" t="s">
        <v>203</v>
      </c>
      <c r="N17" t="s">
        <v>256</v>
      </c>
      <c r="O17" t="s">
        <v>90</v>
      </c>
      <c r="P17" t="s">
        <v>90</v>
      </c>
      <c r="Q17" t="s">
        <v>90</v>
      </c>
      <c r="R17" t="s">
        <v>90</v>
      </c>
      <c r="S17" t="s">
        <v>90</v>
      </c>
      <c r="T17" t="s">
        <v>90</v>
      </c>
      <c r="U17" t="s">
        <v>90</v>
      </c>
      <c r="V17" t="s">
        <v>90</v>
      </c>
    </row>
    <row r="18" spans="1:22" ht="20">
      <c r="A18" s="46">
        <v>37017</v>
      </c>
      <c r="B18" s="55" t="s">
        <v>565</v>
      </c>
      <c r="C18" s="45" t="s">
        <v>75</v>
      </c>
      <c r="D18" s="47">
        <v>1</v>
      </c>
      <c r="E18" s="47" t="s">
        <v>47</v>
      </c>
      <c r="F18" s="47" t="s">
        <v>419</v>
      </c>
      <c r="G18" s="47">
        <v>2</v>
      </c>
      <c r="H18" s="90" t="s">
        <v>588</v>
      </c>
      <c r="I18" s="48">
        <v>1</v>
      </c>
      <c r="J18" s="47" t="s">
        <v>203</v>
      </c>
      <c r="N18" t="s">
        <v>256</v>
      </c>
      <c r="O18" t="s">
        <v>90</v>
      </c>
      <c r="P18" t="s">
        <v>90</v>
      </c>
      <c r="Q18" t="s">
        <v>90</v>
      </c>
      <c r="R18" t="s">
        <v>90</v>
      </c>
      <c r="S18" t="s">
        <v>90</v>
      </c>
      <c r="T18" t="s">
        <v>90</v>
      </c>
      <c r="U18" t="s">
        <v>90</v>
      </c>
      <c r="V18" t="s">
        <v>90</v>
      </c>
    </row>
    <row r="19" spans="1:22" ht="20">
      <c r="A19" s="46">
        <v>37018</v>
      </c>
      <c r="B19" s="55" t="s">
        <v>565</v>
      </c>
      <c r="C19" s="45" t="s">
        <v>76</v>
      </c>
      <c r="D19" s="47">
        <v>1</v>
      </c>
      <c r="E19" s="47" t="s">
        <v>47</v>
      </c>
      <c r="F19" s="47" t="s">
        <v>419</v>
      </c>
      <c r="G19" s="47">
        <v>2</v>
      </c>
      <c r="H19" s="90" t="s">
        <v>589</v>
      </c>
      <c r="I19" s="48">
        <v>1</v>
      </c>
      <c r="J19" s="47" t="s">
        <v>203</v>
      </c>
      <c r="N19" t="s">
        <v>256</v>
      </c>
      <c r="O19" t="s">
        <v>90</v>
      </c>
      <c r="P19" t="s">
        <v>90</v>
      </c>
      <c r="Q19" t="s">
        <v>90</v>
      </c>
      <c r="R19" t="s">
        <v>90</v>
      </c>
      <c r="S19" t="s">
        <v>90</v>
      </c>
      <c r="T19" t="s">
        <v>90</v>
      </c>
      <c r="U19" t="s">
        <v>90</v>
      </c>
      <c r="V19" t="s">
        <v>90</v>
      </c>
    </row>
    <row r="20" spans="1:22" ht="20">
      <c r="A20" s="46">
        <v>37019</v>
      </c>
      <c r="B20" s="45" t="s">
        <v>566</v>
      </c>
      <c r="C20" s="45" t="s">
        <v>77</v>
      </c>
      <c r="D20" s="47">
        <v>2</v>
      </c>
      <c r="E20" s="47" t="s">
        <v>69</v>
      </c>
      <c r="F20" s="47" t="s">
        <v>419</v>
      </c>
      <c r="G20" s="47">
        <v>3</v>
      </c>
      <c r="H20" s="90" t="s">
        <v>590</v>
      </c>
      <c r="I20" s="48">
        <v>1</v>
      </c>
      <c r="J20" s="47" t="s">
        <v>203</v>
      </c>
      <c r="N20" t="s">
        <v>256</v>
      </c>
      <c r="O20" t="s">
        <v>90</v>
      </c>
      <c r="P20" t="s">
        <v>90</v>
      </c>
      <c r="Q20" t="s">
        <v>90</v>
      </c>
      <c r="R20" t="s">
        <v>90</v>
      </c>
      <c r="S20" t="s">
        <v>90</v>
      </c>
      <c r="T20" t="s">
        <v>90</v>
      </c>
      <c r="U20" t="s">
        <v>90</v>
      </c>
      <c r="V20" t="s">
        <v>90</v>
      </c>
    </row>
    <row r="21" spans="1:22" ht="20">
      <c r="A21" s="46">
        <v>37020</v>
      </c>
      <c r="B21" s="45" t="s">
        <v>566</v>
      </c>
      <c r="C21" s="45" t="s">
        <v>78</v>
      </c>
      <c r="D21" s="47">
        <v>2</v>
      </c>
      <c r="E21" s="47" t="s">
        <v>69</v>
      </c>
      <c r="F21" s="47" t="s">
        <v>418</v>
      </c>
      <c r="G21" s="47">
        <v>3</v>
      </c>
      <c r="H21" s="90" t="s">
        <v>591</v>
      </c>
      <c r="I21" s="48">
        <v>1</v>
      </c>
      <c r="J21" s="47" t="s">
        <v>203</v>
      </c>
      <c r="N21" t="s">
        <v>256</v>
      </c>
      <c r="O21" t="s">
        <v>90</v>
      </c>
      <c r="P21" t="s">
        <v>90</v>
      </c>
      <c r="Q21" t="s">
        <v>90</v>
      </c>
      <c r="R21" t="s">
        <v>90</v>
      </c>
      <c r="S21" t="s">
        <v>90</v>
      </c>
      <c r="T21" t="s">
        <v>90</v>
      </c>
      <c r="U21" t="s">
        <v>90</v>
      </c>
      <c r="V21" t="s">
        <v>90</v>
      </c>
    </row>
    <row r="22" spans="1:22" ht="20">
      <c r="A22" s="46">
        <v>37021</v>
      </c>
      <c r="B22" s="45" t="s">
        <v>566</v>
      </c>
      <c r="C22" s="45" t="s">
        <v>71</v>
      </c>
      <c r="D22" s="47">
        <v>2</v>
      </c>
      <c r="E22" s="47" t="s">
        <v>69</v>
      </c>
      <c r="F22" s="47" t="s">
        <v>420</v>
      </c>
      <c r="G22" s="47">
        <v>3</v>
      </c>
      <c r="H22" s="90" t="s">
        <v>592</v>
      </c>
      <c r="I22" s="48">
        <v>1</v>
      </c>
      <c r="J22" s="47" t="s">
        <v>203</v>
      </c>
      <c r="N22" t="s">
        <v>256</v>
      </c>
      <c r="O22" t="s">
        <v>90</v>
      </c>
      <c r="P22" t="s">
        <v>90</v>
      </c>
      <c r="Q22" t="s">
        <v>90</v>
      </c>
      <c r="R22" t="s">
        <v>90</v>
      </c>
      <c r="S22" t="s">
        <v>90</v>
      </c>
      <c r="T22" t="s">
        <v>90</v>
      </c>
      <c r="U22" t="s">
        <v>90</v>
      </c>
      <c r="V22" t="s">
        <v>90</v>
      </c>
    </row>
    <row r="23" spans="1:22" ht="20">
      <c r="A23" s="46">
        <v>37022</v>
      </c>
      <c r="B23" s="45" t="s">
        <v>566</v>
      </c>
      <c r="C23" s="45" t="s">
        <v>79</v>
      </c>
      <c r="D23" s="47">
        <v>2</v>
      </c>
      <c r="E23" s="47" t="s">
        <v>69</v>
      </c>
      <c r="F23" s="47" t="s">
        <v>420</v>
      </c>
      <c r="G23" s="47">
        <v>3</v>
      </c>
      <c r="H23" s="90" t="s">
        <v>593</v>
      </c>
      <c r="I23" s="48">
        <v>1</v>
      </c>
      <c r="J23" s="47" t="s">
        <v>203</v>
      </c>
      <c r="N23" t="s">
        <v>256</v>
      </c>
      <c r="O23" t="s">
        <v>90</v>
      </c>
      <c r="P23" t="s">
        <v>90</v>
      </c>
      <c r="Q23" t="s">
        <v>90</v>
      </c>
      <c r="R23" t="s">
        <v>90</v>
      </c>
      <c r="S23" t="s">
        <v>90</v>
      </c>
      <c r="T23" t="s">
        <v>90</v>
      </c>
      <c r="U23" t="s">
        <v>90</v>
      </c>
      <c r="V23" t="s">
        <v>90</v>
      </c>
    </row>
    <row r="24" spans="1:22" ht="20">
      <c r="A24" s="46">
        <v>37023</v>
      </c>
      <c r="B24" s="45" t="s">
        <v>566</v>
      </c>
      <c r="C24" s="45" t="s">
        <v>80</v>
      </c>
      <c r="D24" s="47">
        <v>2</v>
      </c>
      <c r="E24" s="47" t="s">
        <v>69</v>
      </c>
      <c r="F24" s="47" t="s">
        <v>418</v>
      </c>
      <c r="G24" s="47">
        <v>2</v>
      </c>
      <c r="H24" s="90" t="s">
        <v>594</v>
      </c>
      <c r="I24" s="48">
        <v>1</v>
      </c>
      <c r="J24" s="47" t="s">
        <v>203</v>
      </c>
      <c r="N24" t="s">
        <v>256</v>
      </c>
      <c r="O24" t="s">
        <v>90</v>
      </c>
      <c r="P24" t="s">
        <v>90</v>
      </c>
      <c r="Q24" t="s">
        <v>90</v>
      </c>
      <c r="R24" t="s">
        <v>90</v>
      </c>
      <c r="S24" t="s">
        <v>90</v>
      </c>
      <c r="T24" t="s">
        <v>90</v>
      </c>
      <c r="U24" t="s">
        <v>90</v>
      </c>
      <c r="V24" t="s">
        <v>90</v>
      </c>
    </row>
    <row r="25" spans="1:22" ht="20">
      <c r="A25" s="46">
        <v>37024</v>
      </c>
      <c r="B25" s="45" t="s">
        <v>566</v>
      </c>
      <c r="C25" s="45" t="s">
        <v>81</v>
      </c>
      <c r="D25" s="47">
        <v>2</v>
      </c>
      <c r="E25" s="47" t="s">
        <v>69</v>
      </c>
      <c r="F25" s="47" t="s">
        <v>418</v>
      </c>
      <c r="G25" s="47">
        <v>3</v>
      </c>
      <c r="H25" s="90" t="s">
        <v>595</v>
      </c>
      <c r="I25" s="48">
        <v>1</v>
      </c>
      <c r="J25" s="47" t="s">
        <v>203</v>
      </c>
      <c r="N25" t="s">
        <v>256</v>
      </c>
      <c r="O25" t="s">
        <v>90</v>
      </c>
      <c r="P25" t="s">
        <v>90</v>
      </c>
      <c r="Q25" t="s">
        <v>90</v>
      </c>
      <c r="R25" t="s">
        <v>90</v>
      </c>
      <c r="S25" t="s">
        <v>90</v>
      </c>
      <c r="T25" t="s">
        <v>90</v>
      </c>
      <c r="U25" t="s">
        <v>90</v>
      </c>
      <c r="V25" t="s">
        <v>90</v>
      </c>
    </row>
    <row r="26" spans="1:22" ht="20">
      <c r="A26" s="54">
        <v>37025</v>
      </c>
      <c r="B26" s="45" t="s">
        <v>566</v>
      </c>
      <c r="C26" s="55" t="s">
        <v>74</v>
      </c>
      <c r="D26" s="56">
        <v>2</v>
      </c>
      <c r="E26" s="56" t="s">
        <v>69</v>
      </c>
      <c r="F26" s="56" t="s">
        <v>421</v>
      </c>
      <c r="G26" s="56">
        <v>4</v>
      </c>
      <c r="H26" s="90" t="s">
        <v>596</v>
      </c>
      <c r="I26" s="65">
        <v>1</v>
      </c>
      <c r="J26" s="56" t="s">
        <v>203</v>
      </c>
      <c r="N26" t="s">
        <v>256</v>
      </c>
      <c r="O26" t="s">
        <v>90</v>
      </c>
      <c r="P26" t="s">
        <v>90</v>
      </c>
      <c r="Q26" t="s">
        <v>90</v>
      </c>
      <c r="R26" t="s">
        <v>90</v>
      </c>
      <c r="S26" t="s">
        <v>90</v>
      </c>
      <c r="T26" t="s">
        <v>90</v>
      </c>
      <c r="U26" t="s">
        <v>90</v>
      </c>
      <c r="V26" t="s">
        <v>90</v>
      </c>
    </row>
    <row r="27" spans="1:22" ht="20">
      <c r="A27" s="46">
        <v>37026</v>
      </c>
      <c r="B27" s="45" t="s">
        <v>566</v>
      </c>
      <c r="C27" s="45" t="s">
        <v>422</v>
      </c>
      <c r="D27" s="47">
        <v>2</v>
      </c>
      <c r="E27" s="47" t="s">
        <v>413</v>
      </c>
      <c r="F27" s="47" t="s">
        <v>418</v>
      </c>
      <c r="G27" s="47">
        <v>2</v>
      </c>
      <c r="H27" s="90" t="s">
        <v>597</v>
      </c>
      <c r="I27" s="48">
        <v>1</v>
      </c>
      <c r="J27" s="47" t="s">
        <v>203</v>
      </c>
      <c r="N27" t="s">
        <v>256</v>
      </c>
      <c r="O27" t="s">
        <v>90</v>
      </c>
      <c r="P27" t="s">
        <v>90</v>
      </c>
      <c r="Q27" t="s">
        <v>90</v>
      </c>
      <c r="R27" t="s">
        <v>90</v>
      </c>
      <c r="S27" t="s">
        <v>90</v>
      </c>
      <c r="T27" t="s">
        <v>90</v>
      </c>
      <c r="U27" t="s">
        <v>90</v>
      </c>
      <c r="V27" t="s">
        <v>90</v>
      </c>
    </row>
    <row r="28" spans="1:22" ht="20">
      <c r="A28" s="46">
        <v>37027</v>
      </c>
      <c r="B28" s="45" t="s">
        <v>566</v>
      </c>
      <c r="C28" s="45" t="s">
        <v>423</v>
      </c>
      <c r="D28" s="47">
        <v>2</v>
      </c>
      <c r="E28" s="47" t="s">
        <v>413</v>
      </c>
      <c r="F28" s="47" t="s">
        <v>419</v>
      </c>
      <c r="G28" s="47">
        <v>3</v>
      </c>
      <c r="H28" s="90" t="s">
        <v>598</v>
      </c>
      <c r="I28" s="48">
        <v>1</v>
      </c>
      <c r="J28" s="47" t="s">
        <v>203</v>
      </c>
      <c r="N28" t="s">
        <v>256</v>
      </c>
      <c r="O28" t="s">
        <v>90</v>
      </c>
      <c r="P28" t="s">
        <v>90</v>
      </c>
      <c r="Q28" t="s">
        <v>90</v>
      </c>
      <c r="R28" t="s">
        <v>90</v>
      </c>
      <c r="S28" t="s">
        <v>90</v>
      </c>
      <c r="T28" t="s">
        <v>90</v>
      </c>
      <c r="U28" t="s">
        <v>90</v>
      </c>
      <c r="V28" t="s">
        <v>90</v>
      </c>
    </row>
    <row r="29" spans="1:22" ht="20">
      <c r="A29" s="46">
        <v>37028</v>
      </c>
      <c r="B29" s="45" t="s">
        <v>566</v>
      </c>
      <c r="C29" s="45" t="s">
        <v>76</v>
      </c>
      <c r="D29" s="47">
        <v>2</v>
      </c>
      <c r="E29" s="47" t="s">
        <v>413</v>
      </c>
      <c r="F29" s="47" t="s">
        <v>421</v>
      </c>
      <c r="G29" s="47">
        <v>3</v>
      </c>
      <c r="H29" s="90" t="s">
        <v>599</v>
      </c>
      <c r="I29" s="48">
        <v>1</v>
      </c>
      <c r="J29" s="47" t="s">
        <v>203</v>
      </c>
      <c r="N29" t="s">
        <v>256</v>
      </c>
      <c r="O29" t="s">
        <v>90</v>
      </c>
      <c r="P29" t="s">
        <v>90</v>
      </c>
      <c r="Q29" t="s">
        <v>90</v>
      </c>
      <c r="R29" t="s">
        <v>90</v>
      </c>
      <c r="S29" t="s">
        <v>90</v>
      </c>
      <c r="T29" t="s">
        <v>90</v>
      </c>
      <c r="U29" t="s">
        <v>90</v>
      </c>
      <c r="V29" t="s">
        <v>90</v>
      </c>
    </row>
    <row r="30" spans="1:22" ht="20">
      <c r="A30" s="46">
        <v>37029</v>
      </c>
      <c r="B30" s="45" t="s">
        <v>566</v>
      </c>
      <c r="C30" s="45" t="s">
        <v>82</v>
      </c>
      <c r="D30" s="47">
        <v>2</v>
      </c>
      <c r="E30" s="47" t="s">
        <v>424</v>
      </c>
      <c r="F30" s="47" t="s">
        <v>414</v>
      </c>
      <c r="G30" s="47">
        <v>3</v>
      </c>
      <c r="H30" s="90" t="s">
        <v>600</v>
      </c>
      <c r="I30" s="48">
        <v>1</v>
      </c>
      <c r="J30" s="47" t="s">
        <v>203</v>
      </c>
      <c r="N30" t="s">
        <v>256</v>
      </c>
      <c r="O30" t="s">
        <v>90</v>
      </c>
      <c r="P30" t="s">
        <v>90</v>
      </c>
      <c r="Q30" t="s">
        <v>90</v>
      </c>
      <c r="R30" t="s">
        <v>90</v>
      </c>
      <c r="S30" t="s">
        <v>90</v>
      </c>
      <c r="T30" t="s">
        <v>90</v>
      </c>
      <c r="U30" t="s">
        <v>90</v>
      </c>
      <c r="V30" t="s">
        <v>90</v>
      </c>
    </row>
    <row r="31" spans="1:22" ht="20">
      <c r="A31" s="46">
        <v>37030</v>
      </c>
      <c r="B31" s="45" t="s">
        <v>566</v>
      </c>
      <c r="C31" s="45" t="s">
        <v>83</v>
      </c>
      <c r="D31" s="47">
        <v>2</v>
      </c>
      <c r="E31" s="47" t="s">
        <v>69</v>
      </c>
      <c r="F31" s="47" t="s">
        <v>414</v>
      </c>
      <c r="G31" s="47">
        <v>3</v>
      </c>
      <c r="H31" s="90" t="s">
        <v>601</v>
      </c>
      <c r="I31" s="48">
        <v>1</v>
      </c>
      <c r="J31" s="47" t="s">
        <v>203</v>
      </c>
      <c r="N31" t="s">
        <v>256</v>
      </c>
      <c r="O31" t="s">
        <v>90</v>
      </c>
      <c r="P31" t="s">
        <v>90</v>
      </c>
      <c r="Q31" t="s">
        <v>90</v>
      </c>
      <c r="R31" t="s">
        <v>90</v>
      </c>
      <c r="S31" t="s">
        <v>90</v>
      </c>
      <c r="T31" t="s">
        <v>90</v>
      </c>
      <c r="U31" t="s">
        <v>90</v>
      </c>
      <c r="V31" t="s">
        <v>90</v>
      </c>
    </row>
    <row r="32" spans="1:22" ht="20">
      <c r="A32" s="46">
        <v>37031</v>
      </c>
      <c r="B32" s="45" t="s">
        <v>566</v>
      </c>
      <c r="C32" s="45" t="s">
        <v>84</v>
      </c>
      <c r="D32" s="47">
        <v>2</v>
      </c>
      <c r="E32" s="47" t="s">
        <v>69</v>
      </c>
      <c r="F32" s="47" t="s">
        <v>421</v>
      </c>
      <c r="G32" s="47">
        <v>3</v>
      </c>
      <c r="H32" s="90" t="s">
        <v>602</v>
      </c>
      <c r="I32" s="48">
        <v>1</v>
      </c>
      <c r="J32" s="47" t="s">
        <v>203</v>
      </c>
      <c r="N32" t="s">
        <v>256</v>
      </c>
      <c r="O32" t="s">
        <v>90</v>
      </c>
      <c r="P32" t="s">
        <v>90</v>
      </c>
      <c r="Q32" t="s">
        <v>90</v>
      </c>
      <c r="R32" t="s">
        <v>90</v>
      </c>
      <c r="S32" t="s">
        <v>90</v>
      </c>
      <c r="T32" t="s">
        <v>90</v>
      </c>
      <c r="U32" t="s">
        <v>90</v>
      </c>
      <c r="V32" t="s">
        <v>90</v>
      </c>
    </row>
    <row r="33" spans="1:22" ht="20">
      <c r="A33" s="54">
        <v>37032</v>
      </c>
      <c r="B33" s="55" t="s">
        <v>568</v>
      </c>
      <c r="C33" s="55" t="s">
        <v>425</v>
      </c>
      <c r="D33" s="56">
        <v>1</v>
      </c>
      <c r="E33" s="56" t="s">
        <v>69</v>
      </c>
      <c r="F33" s="56" t="s">
        <v>420</v>
      </c>
      <c r="G33" s="56">
        <v>1</v>
      </c>
      <c r="H33" s="90" t="s">
        <v>620</v>
      </c>
      <c r="I33" s="65">
        <v>1</v>
      </c>
      <c r="J33" s="56" t="s">
        <v>203</v>
      </c>
      <c r="N33" t="s">
        <v>256</v>
      </c>
      <c r="O33" t="s">
        <v>90</v>
      </c>
      <c r="P33" t="s">
        <v>90</v>
      </c>
      <c r="Q33" t="s">
        <v>90</v>
      </c>
      <c r="R33" t="s">
        <v>90</v>
      </c>
      <c r="S33" t="s">
        <v>90</v>
      </c>
      <c r="T33" t="s">
        <v>90</v>
      </c>
      <c r="U33" t="s">
        <v>90</v>
      </c>
      <c r="V33" t="s">
        <v>90</v>
      </c>
    </row>
    <row r="34" spans="1:22" ht="20">
      <c r="A34" s="54">
        <v>37033</v>
      </c>
      <c r="B34" s="55" t="s">
        <v>568</v>
      </c>
      <c r="C34" s="55" t="s">
        <v>426</v>
      </c>
      <c r="D34" s="56">
        <v>1</v>
      </c>
      <c r="E34" s="56" t="s">
        <v>69</v>
      </c>
      <c r="F34" s="56" t="s">
        <v>420</v>
      </c>
      <c r="G34" s="56">
        <v>1</v>
      </c>
      <c r="H34" s="90" t="s">
        <v>603</v>
      </c>
      <c r="I34" s="65">
        <v>1</v>
      </c>
      <c r="J34" s="56" t="s">
        <v>203</v>
      </c>
      <c r="N34" t="s">
        <v>256</v>
      </c>
      <c r="O34" t="s">
        <v>90</v>
      </c>
      <c r="P34" t="s">
        <v>90</v>
      </c>
      <c r="Q34" t="s">
        <v>90</v>
      </c>
      <c r="R34" t="s">
        <v>90</v>
      </c>
      <c r="S34" t="s">
        <v>90</v>
      </c>
      <c r="T34" t="s">
        <v>90</v>
      </c>
      <c r="U34" t="s">
        <v>90</v>
      </c>
      <c r="V34" t="s">
        <v>90</v>
      </c>
    </row>
    <row r="35" spans="1:22" ht="20">
      <c r="A35" s="54">
        <v>37034</v>
      </c>
      <c r="B35" s="55" t="s">
        <v>568</v>
      </c>
      <c r="C35" s="55" t="s">
        <v>427</v>
      </c>
      <c r="D35" s="56">
        <v>1</v>
      </c>
      <c r="E35" s="56" t="s">
        <v>69</v>
      </c>
      <c r="F35" s="56" t="s">
        <v>420</v>
      </c>
      <c r="G35" s="56">
        <v>1</v>
      </c>
      <c r="H35" s="90" t="s">
        <v>604</v>
      </c>
      <c r="I35" s="65">
        <v>1</v>
      </c>
      <c r="J35" s="56" t="s">
        <v>203</v>
      </c>
      <c r="N35" t="s">
        <v>256</v>
      </c>
      <c r="O35" t="s">
        <v>90</v>
      </c>
      <c r="P35" t="s">
        <v>90</v>
      </c>
      <c r="Q35" t="s">
        <v>90</v>
      </c>
      <c r="R35" t="s">
        <v>90</v>
      </c>
      <c r="S35" t="s">
        <v>90</v>
      </c>
      <c r="T35" t="s">
        <v>90</v>
      </c>
      <c r="U35" t="s">
        <v>90</v>
      </c>
      <c r="V35" t="s">
        <v>90</v>
      </c>
    </row>
    <row r="36" spans="1:22" ht="20">
      <c r="A36" s="54">
        <v>37035</v>
      </c>
      <c r="B36" s="55" t="s">
        <v>568</v>
      </c>
      <c r="C36" s="55" t="s">
        <v>428</v>
      </c>
      <c r="D36" s="56">
        <v>1</v>
      </c>
      <c r="E36" s="56" t="s">
        <v>69</v>
      </c>
      <c r="F36" s="56" t="s">
        <v>420</v>
      </c>
      <c r="G36" s="56">
        <v>1</v>
      </c>
      <c r="H36" s="90" t="s">
        <v>605</v>
      </c>
      <c r="I36" s="65">
        <v>1</v>
      </c>
      <c r="J36" s="56" t="s">
        <v>203</v>
      </c>
      <c r="N36" t="s">
        <v>256</v>
      </c>
      <c r="O36" t="s">
        <v>90</v>
      </c>
      <c r="P36" t="s">
        <v>90</v>
      </c>
      <c r="Q36" t="s">
        <v>90</v>
      </c>
      <c r="R36" t="s">
        <v>90</v>
      </c>
      <c r="S36" t="s">
        <v>90</v>
      </c>
      <c r="T36" t="s">
        <v>90</v>
      </c>
      <c r="U36" t="s">
        <v>90</v>
      </c>
      <c r="V36" t="s">
        <v>90</v>
      </c>
    </row>
    <row r="37" spans="1:22" ht="20">
      <c r="A37" s="54">
        <v>37036</v>
      </c>
      <c r="B37" s="55" t="s">
        <v>568</v>
      </c>
      <c r="C37" s="55" t="s">
        <v>429</v>
      </c>
      <c r="D37" s="56">
        <v>1</v>
      </c>
      <c r="E37" s="56" t="s">
        <v>69</v>
      </c>
      <c r="F37" s="56" t="s">
        <v>420</v>
      </c>
      <c r="G37" s="56">
        <v>1</v>
      </c>
      <c r="H37" s="90" t="s">
        <v>606</v>
      </c>
      <c r="I37" s="65">
        <v>1</v>
      </c>
      <c r="J37" s="56" t="s">
        <v>203</v>
      </c>
      <c r="N37" t="s">
        <v>256</v>
      </c>
      <c r="O37" t="s">
        <v>90</v>
      </c>
      <c r="P37" t="s">
        <v>90</v>
      </c>
      <c r="Q37" t="s">
        <v>90</v>
      </c>
      <c r="R37" t="s">
        <v>90</v>
      </c>
      <c r="S37" t="s">
        <v>90</v>
      </c>
      <c r="T37" t="s">
        <v>90</v>
      </c>
      <c r="U37" t="s">
        <v>90</v>
      </c>
      <c r="V37" t="s">
        <v>90</v>
      </c>
    </row>
    <row r="38" spans="1:22" ht="20">
      <c r="A38" s="54">
        <v>37037</v>
      </c>
      <c r="B38" s="55" t="s">
        <v>568</v>
      </c>
      <c r="C38" s="55" t="s">
        <v>430</v>
      </c>
      <c r="D38" s="56">
        <v>1</v>
      </c>
      <c r="E38" s="56" t="s">
        <v>69</v>
      </c>
      <c r="F38" s="56" t="s">
        <v>420</v>
      </c>
      <c r="G38" s="56">
        <v>1</v>
      </c>
      <c r="H38" s="90" t="s">
        <v>607</v>
      </c>
      <c r="I38" s="65">
        <v>1</v>
      </c>
      <c r="J38" s="56" t="s">
        <v>203</v>
      </c>
      <c r="N38" t="s">
        <v>256</v>
      </c>
      <c r="O38" t="s">
        <v>90</v>
      </c>
      <c r="P38" t="s">
        <v>90</v>
      </c>
      <c r="Q38" t="s">
        <v>90</v>
      </c>
      <c r="R38" t="s">
        <v>90</v>
      </c>
      <c r="S38" t="s">
        <v>90</v>
      </c>
      <c r="T38" t="s">
        <v>90</v>
      </c>
      <c r="U38" t="s">
        <v>90</v>
      </c>
      <c r="V38" t="s">
        <v>90</v>
      </c>
    </row>
    <row r="39" spans="1:22" ht="20">
      <c r="A39" s="54">
        <v>37038</v>
      </c>
      <c r="B39" s="55" t="s">
        <v>568</v>
      </c>
      <c r="C39" s="55" t="s">
        <v>431</v>
      </c>
      <c r="D39" s="56">
        <v>1</v>
      </c>
      <c r="E39" s="56" t="s">
        <v>69</v>
      </c>
      <c r="F39" s="56" t="s">
        <v>420</v>
      </c>
      <c r="G39" s="56">
        <v>1</v>
      </c>
      <c r="H39" s="90" t="s">
        <v>608</v>
      </c>
      <c r="I39" s="65">
        <v>1</v>
      </c>
      <c r="J39" s="56" t="s">
        <v>203</v>
      </c>
      <c r="N39" t="s">
        <v>256</v>
      </c>
      <c r="O39" t="s">
        <v>90</v>
      </c>
      <c r="P39" t="s">
        <v>90</v>
      </c>
      <c r="Q39" t="s">
        <v>90</v>
      </c>
      <c r="R39" t="s">
        <v>90</v>
      </c>
      <c r="S39" t="s">
        <v>90</v>
      </c>
      <c r="T39" t="s">
        <v>90</v>
      </c>
      <c r="U39" t="s">
        <v>90</v>
      </c>
      <c r="V39" t="s">
        <v>90</v>
      </c>
    </row>
    <row r="40" spans="1:22" ht="20">
      <c r="A40" s="54">
        <v>37039</v>
      </c>
      <c r="B40" s="55" t="s">
        <v>568</v>
      </c>
      <c r="C40" s="55" t="s">
        <v>432</v>
      </c>
      <c r="D40" s="56">
        <v>1</v>
      </c>
      <c r="E40" s="56" t="s">
        <v>69</v>
      </c>
      <c r="F40" s="56" t="s">
        <v>433</v>
      </c>
      <c r="G40" s="56">
        <v>1</v>
      </c>
      <c r="H40" s="90" t="s">
        <v>609</v>
      </c>
      <c r="I40" s="65">
        <v>1</v>
      </c>
      <c r="J40" s="56" t="s">
        <v>203</v>
      </c>
      <c r="N40" t="s">
        <v>256</v>
      </c>
      <c r="O40" t="s">
        <v>90</v>
      </c>
      <c r="P40" t="s">
        <v>90</v>
      </c>
      <c r="Q40" t="s">
        <v>90</v>
      </c>
      <c r="R40" t="s">
        <v>90</v>
      </c>
      <c r="S40" t="s">
        <v>90</v>
      </c>
      <c r="T40" t="s">
        <v>90</v>
      </c>
      <c r="U40" t="s">
        <v>90</v>
      </c>
      <c r="V40" t="s">
        <v>90</v>
      </c>
    </row>
    <row r="41" spans="1:22" ht="20">
      <c r="A41" s="54">
        <v>37040</v>
      </c>
      <c r="B41" s="55" t="s">
        <v>568</v>
      </c>
      <c r="C41" s="55" t="s">
        <v>425</v>
      </c>
      <c r="D41" s="56">
        <v>1</v>
      </c>
      <c r="E41" s="56" t="s">
        <v>69</v>
      </c>
      <c r="F41" s="56" t="s">
        <v>421</v>
      </c>
      <c r="G41" s="56">
        <v>2</v>
      </c>
      <c r="H41" s="90" t="s">
        <v>610</v>
      </c>
      <c r="I41" s="65">
        <v>1</v>
      </c>
      <c r="J41" s="56" t="s">
        <v>203</v>
      </c>
      <c r="N41" t="s">
        <v>256</v>
      </c>
      <c r="O41" t="s">
        <v>90</v>
      </c>
      <c r="P41" t="s">
        <v>90</v>
      </c>
      <c r="Q41" t="s">
        <v>90</v>
      </c>
      <c r="R41" t="s">
        <v>90</v>
      </c>
      <c r="S41" t="s">
        <v>90</v>
      </c>
      <c r="T41" t="s">
        <v>90</v>
      </c>
      <c r="U41" t="s">
        <v>90</v>
      </c>
      <c r="V41" t="s">
        <v>90</v>
      </c>
    </row>
    <row r="42" spans="1:22" ht="20">
      <c r="A42" s="54">
        <v>37041</v>
      </c>
      <c r="B42" s="55" t="s">
        <v>569</v>
      </c>
      <c r="C42" s="55" t="s">
        <v>426</v>
      </c>
      <c r="D42" s="56">
        <v>1</v>
      </c>
      <c r="E42" s="56" t="s">
        <v>69</v>
      </c>
      <c r="F42" s="56" t="s">
        <v>421</v>
      </c>
      <c r="G42" s="56">
        <v>2</v>
      </c>
      <c r="H42" s="90" t="s">
        <v>611</v>
      </c>
      <c r="I42" s="65">
        <v>1</v>
      </c>
      <c r="J42" s="56" t="s">
        <v>203</v>
      </c>
      <c r="N42" t="s">
        <v>256</v>
      </c>
      <c r="O42" t="s">
        <v>90</v>
      </c>
      <c r="P42" t="s">
        <v>90</v>
      </c>
      <c r="Q42" t="s">
        <v>90</v>
      </c>
      <c r="R42" t="s">
        <v>90</v>
      </c>
      <c r="S42" t="s">
        <v>90</v>
      </c>
      <c r="T42" t="s">
        <v>90</v>
      </c>
      <c r="U42" t="s">
        <v>90</v>
      </c>
      <c r="V42" t="s">
        <v>90</v>
      </c>
    </row>
    <row r="43" spans="1:22" ht="20">
      <c r="A43" s="54">
        <v>37042</v>
      </c>
      <c r="B43" s="55" t="s">
        <v>569</v>
      </c>
      <c r="C43" s="55" t="s">
        <v>427</v>
      </c>
      <c r="D43" s="56">
        <v>1</v>
      </c>
      <c r="E43" s="56" t="s">
        <v>69</v>
      </c>
      <c r="F43" s="56" t="s">
        <v>421</v>
      </c>
      <c r="G43" s="56">
        <v>2</v>
      </c>
      <c r="H43" s="90" t="s">
        <v>612</v>
      </c>
      <c r="I43" s="65">
        <v>1</v>
      </c>
      <c r="J43" s="56" t="s">
        <v>203</v>
      </c>
      <c r="N43" t="s">
        <v>256</v>
      </c>
      <c r="O43" t="s">
        <v>90</v>
      </c>
      <c r="P43" t="s">
        <v>90</v>
      </c>
      <c r="Q43" t="s">
        <v>90</v>
      </c>
      <c r="R43" t="s">
        <v>90</v>
      </c>
      <c r="S43" t="s">
        <v>90</v>
      </c>
      <c r="T43" t="s">
        <v>90</v>
      </c>
      <c r="U43" t="s">
        <v>90</v>
      </c>
      <c r="V43" t="s">
        <v>90</v>
      </c>
    </row>
    <row r="44" spans="1:22" ht="20">
      <c r="A44" s="54">
        <v>37043</v>
      </c>
      <c r="B44" s="55" t="s">
        <v>569</v>
      </c>
      <c r="C44" s="55" t="s">
        <v>428</v>
      </c>
      <c r="D44" s="56">
        <v>1</v>
      </c>
      <c r="E44" s="56" t="s">
        <v>69</v>
      </c>
      <c r="F44" s="56" t="s">
        <v>421</v>
      </c>
      <c r="G44" s="56">
        <v>2</v>
      </c>
      <c r="H44" s="90" t="s">
        <v>613</v>
      </c>
      <c r="I44" s="65">
        <v>1</v>
      </c>
      <c r="J44" s="56" t="s">
        <v>203</v>
      </c>
      <c r="N44" t="s">
        <v>256</v>
      </c>
      <c r="O44" t="s">
        <v>90</v>
      </c>
      <c r="P44" t="s">
        <v>90</v>
      </c>
      <c r="Q44" t="s">
        <v>90</v>
      </c>
      <c r="R44" t="s">
        <v>90</v>
      </c>
      <c r="S44" t="s">
        <v>90</v>
      </c>
      <c r="T44" t="s">
        <v>90</v>
      </c>
      <c r="U44" t="s">
        <v>90</v>
      </c>
      <c r="V44" t="s">
        <v>90</v>
      </c>
    </row>
    <row r="45" spans="1:22" ht="20">
      <c r="A45" s="54">
        <v>37044</v>
      </c>
      <c r="B45" s="55" t="s">
        <v>569</v>
      </c>
      <c r="C45" s="55" t="s">
        <v>429</v>
      </c>
      <c r="D45" s="56">
        <v>1</v>
      </c>
      <c r="E45" s="56" t="s">
        <v>69</v>
      </c>
      <c r="F45" s="56" t="s">
        <v>421</v>
      </c>
      <c r="G45" s="56">
        <v>2</v>
      </c>
      <c r="H45" s="90" t="s">
        <v>614</v>
      </c>
      <c r="I45" s="65">
        <v>1</v>
      </c>
      <c r="J45" s="56" t="s">
        <v>203</v>
      </c>
      <c r="N45" t="s">
        <v>256</v>
      </c>
      <c r="O45" t="s">
        <v>90</v>
      </c>
      <c r="P45" t="s">
        <v>90</v>
      </c>
      <c r="Q45" t="s">
        <v>90</v>
      </c>
      <c r="R45" t="s">
        <v>90</v>
      </c>
      <c r="S45" t="s">
        <v>90</v>
      </c>
      <c r="T45" t="s">
        <v>90</v>
      </c>
      <c r="U45" t="s">
        <v>90</v>
      </c>
      <c r="V45" t="s">
        <v>90</v>
      </c>
    </row>
    <row r="46" spans="1:22" ht="20">
      <c r="A46" s="54">
        <v>37045</v>
      </c>
      <c r="B46" s="55" t="s">
        <v>569</v>
      </c>
      <c r="C46" s="55" t="s">
        <v>430</v>
      </c>
      <c r="D46" s="56">
        <v>1</v>
      </c>
      <c r="E46" s="56" t="s">
        <v>69</v>
      </c>
      <c r="F46" s="56" t="s">
        <v>421</v>
      </c>
      <c r="G46" s="56">
        <v>2</v>
      </c>
      <c r="H46" s="90" t="s">
        <v>615</v>
      </c>
      <c r="I46" s="65">
        <v>1</v>
      </c>
      <c r="J46" s="56" t="s">
        <v>203</v>
      </c>
      <c r="N46" t="s">
        <v>256</v>
      </c>
      <c r="O46" t="s">
        <v>90</v>
      </c>
      <c r="P46" t="s">
        <v>90</v>
      </c>
      <c r="Q46" t="s">
        <v>90</v>
      </c>
      <c r="R46" t="s">
        <v>90</v>
      </c>
      <c r="S46" t="s">
        <v>90</v>
      </c>
      <c r="T46" t="s">
        <v>90</v>
      </c>
      <c r="U46" t="s">
        <v>90</v>
      </c>
      <c r="V46" t="s">
        <v>90</v>
      </c>
    </row>
    <row r="47" spans="1:22" ht="20">
      <c r="A47" s="54">
        <v>37046</v>
      </c>
      <c r="B47" s="55" t="s">
        <v>569</v>
      </c>
      <c r="C47" s="55" t="s">
        <v>431</v>
      </c>
      <c r="D47" s="56">
        <v>1</v>
      </c>
      <c r="E47" s="56" t="s">
        <v>69</v>
      </c>
      <c r="F47" s="56" t="s">
        <v>421</v>
      </c>
      <c r="G47" s="56">
        <v>2</v>
      </c>
      <c r="H47" s="90" t="s">
        <v>616</v>
      </c>
      <c r="I47" s="65">
        <v>1</v>
      </c>
      <c r="J47" s="56" t="s">
        <v>203</v>
      </c>
      <c r="N47" t="s">
        <v>256</v>
      </c>
      <c r="O47" t="s">
        <v>90</v>
      </c>
      <c r="P47" t="s">
        <v>90</v>
      </c>
      <c r="Q47" t="s">
        <v>90</v>
      </c>
      <c r="R47" t="s">
        <v>90</v>
      </c>
      <c r="S47" t="s">
        <v>90</v>
      </c>
      <c r="T47" t="s">
        <v>90</v>
      </c>
      <c r="U47" t="s">
        <v>90</v>
      </c>
      <c r="V47" t="s">
        <v>90</v>
      </c>
    </row>
    <row r="48" spans="1:22" ht="20">
      <c r="A48" s="54">
        <v>37047</v>
      </c>
      <c r="B48" s="55" t="s">
        <v>569</v>
      </c>
      <c r="C48" s="55" t="s">
        <v>432</v>
      </c>
      <c r="D48" s="56">
        <v>1</v>
      </c>
      <c r="E48" s="56" t="s">
        <v>424</v>
      </c>
      <c r="F48" s="56" t="s">
        <v>421</v>
      </c>
      <c r="G48" s="56">
        <v>2</v>
      </c>
      <c r="H48" s="90" t="s">
        <v>617</v>
      </c>
      <c r="I48" s="65">
        <v>1</v>
      </c>
      <c r="J48" s="56" t="s">
        <v>203</v>
      </c>
      <c r="N48" t="s">
        <v>256</v>
      </c>
      <c r="O48" t="s">
        <v>90</v>
      </c>
      <c r="P48" t="s">
        <v>90</v>
      </c>
      <c r="Q48" t="s">
        <v>90</v>
      </c>
      <c r="R48" t="s">
        <v>90</v>
      </c>
      <c r="S48" t="s">
        <v>90</v>
      </c>
      <c r="T48" t="s">
        <v>90</v>
      </c>
      <c r="U48" t="s">
        <v>90</v>
      </c>
      <c r="V48" t="s">
        <v>90</v>
      </c>
    </row>
    <row r="49" spans="1:22" ht="20">
      <c r="A49" s="54">
        <v>37048</v>
      </c>
      <c r="B49" s="55" t="s">
        <v>570</v>
      </c>
      <c r="C49" s="55" t="s">
        <v>425</v>
      </c>
      <c r="D49" s="56">
        <v>1</v>
      </c>
      <c r="E49" s="56" t="s">
        <v>47</v>
      </c>
      <c r="F49" s="56" t="s">
        <v>420</v>
      </c>
      <c r="G49" s="56">
        <v>1</v>
      </c>
      <c r="H49" s="90" t="s">
        <v>618</v>
      </c>
      <c r="I49" s="65">
        <v>1</v>
      </c>
      <c r="J49" s="56" t="s">
        <v>203</v>
      </c>
      <c r="N49" t="s">
        <v>256</v>
      </c>
      <c r="O49" t="s">
        <v>90</v>
      </c>
      <c r="P49" t="s">
        <v>90</v>
      </c>
      <c r="Q49" t="s">
        <v>90</v>
      </c>
      <c r="R49" t="s">
        <v>90</v>
      </c>
      <c r="S49" t="s">
        <v>90</v>
      </c>
      <c r="T49" t="s">
        <v>90</v>
      </c>
      <c r="U49" t="s">
        <v>90</v>
      </c>
      <c r="V49" t="s">
        <v>90</v>
      </c>
    </row>
    <row r="50" spans="1:22" ht="20">
      <c r="A50" s="54">
        <v>37049</v>
      </c>
      <c r="B50" s="55" t="s">
        <v>570</v>
      </c>
      <c r="C50" s="55" t="s">
        <v>426</v>
      </c>
      <c r="D50" s="56">
        <v>1</v>
      </c>
      <c r="E50" s="56" t="s">
        <v>47</v>
      </c>
      <c r="F50" s="56" t="s">
        <v>420</v>
      </c>
      <c r="G50" s="56">
        <v>1</v>
      </c>
      <c r="H50" s="90" t="s">
        <v>619</v>
      </c>
      <c r="I50" s="65">
        <v>1</v>
      </c>
      <c r="J50" s="56" t="s">
        <v>203</v>
      </c>
      <c r="N50" t="s">
        <v>256</v>
      </c>
      <c r="O50" t="s">
        <v>90</v>
      </c>
      <c r="P50" t="s">
        <v>90</v>
      </c>
      <c r="Q50" t="s">
        <v>90</v>
      </c>
      <c r="R50" t="s">
        <v>90</v>
      </c>
      <c r="S50" t="s">
        <v>90</v>
      </c>
      <c r="T50" t="s">
        <v>90</v>
      </c>
      <c r="U50" t="s">
        <v>90</v>
      </c>
      <c r="V50" t="s">
        <v>90</v>
      </c>
    </row>
    <row r="51" spans="1:22" ht="20">
      <c r="A51" s="54">
        <v>37050</v>
      </c>
      <c r="B51" s="55" t="s">
        <v>570</v>
      </c>
      <c r="C51" s="55" t="s">
        <v>427</v>
      </c>
      <c r="D51" s="56">
        <v>1</v>
      </c>
      <c r="E51" s="56" t="s">
        <v>47</v>
      </c>
      <c r="F51" s="56" t="s">
        <v>420</v>
      </c>
      <c r="G51" s="56">
        <v>1</v>
      </c>
      <c r="H51" s="90" t="s">
        <v>609</v>
      </c>
      <c r="I51" s="65">
        <v>1</v>
      </c>
      <c r="J51" s="56" t="s">
        <v>203</v>
      </c>
      <c r="N51" t="s">
        <v>256</v>
      </c>
      <c r="O51" t="s">
        <v>90</v>
      </c>
      <c r="P51" t="s">
        <v>90</v>
      </c>
      <c r="Q51" t="s">
        <v>90</v>
      </c>
      <c r="R51" t="s">
        <v>90</v>
      </c>
      <c r="S51" t="s">
        <v>90</v>
      </c>
      <c r="T51" t="s">
        <v>90</v>
      </c>
      <c r="U51" t="s">
        <v>90</v>
      </c>
      <c r="V51" t="s">
        <v>90</v>
      </c>
    </row>
    <row r="52" spans="1:22" ht="20">
      <c r="A52" s="54">
        <v>37051</v>
      </c>
      <c r="B52" s="55" t="s">
        <v>570</v>
      </c>
      <c r="C52" s="55" t="s">
        <v>428</v>
      </c>
      <c r="D52" s="56">
        <v>1</v>
      </c>
      <c r="E52" s="56" t="s">
        <v>47</v>
      </c>
      <c r="F52" s="56" t="s">
        <v>420</v>
      </c>
      <c r="G52" s="56">
        <v>1</v>
      </c>
      <c r="H52" s="90" t="s">
        <v>572</v>
      </c>
      <c r="I52" s="65">
        <v>1</v>
      </c>
      <c r="J52" s="56" t="s">
        <v>203</v>
      </c>
      <c r="N52" t="s">
        <v>256</v>
      </c>
      <c r="O52" t="s">
        <v>90</v>
      </c>
      <c r="P52" t="s">
        <v>90</v>
      </c>
      <c r="Q52" t="s">
        <v>90</v>
      </c>
      <c r="R52" t="s">
        <v>90</v>
      </c>
      <c r="S52" t="s">
        <v>90</v>
      </c>
      <c r="T52" t="s">
        <v>90</v>
      </c>
      <c r="U52" t="s">
        <v>90</v>
      </c>
      <c r="V52" t="s">
        <v>90</v>
      </c>
    </row>
    <row r="53" spans="1:22" ht="20">
      <c r="A53" s="54">
        <v>37052</v>
      </c>
      <c r="B53" s="55" t="s">
        <v>570</v>
      </c>
      <c r="C53" s="55" t="s">
        <v>429</v>
      </c>
      <c r="D53" s="56">
        <v>1</v>
      </c>
      <c r="E53" s="56" t="s">
        <v>47</v>
      </c>
      <c r="F53" s="56" t="s">
        <v>420</v>
      </c>
      <c r="G53" s="56">
        <v>1</v>
      </c>
      <c r="H53" s="90" t="s">
        <v>573</v>
      </c>
      <c r="I53" s="65">
        <v>1</v>
      </c>
      <c r="J53" s="56" t="s">
        <v>203</v>
      </c>
      <c r="N53" t="s">
        <v>256</v>
      </c>
      <c r="O53" t="s">
        <v>90</v>
      </c>
      <c r="P53" t="s">
        <v>90</v>
      </c>
      <c r="Q53" t="s">
        <v>90</v>
      </c>
      <c r="R53" t="s">
        <v>90</v>
      </c>
      <c r="S53" t="s">
        <v>90</v>
      </c>
      <c r="T53" t="s">
        <v>90</v>
      </c>
      <c r="U53" t="s">
        <v>90</v>
      </c>
      <c r="V53" t="s">
        <v>90</v>
      </c>
    </row>
    <row r="54" spans="1:22" ht="20">
      <c r="A54" s="54">
        <v>37053</v>
      </c>
      <c r="B54" s="55" t="s">
        <v>570</v>
      </c>
      <c r="C54" s="55" t="s">
        <v>430</v>
      </c>
      <c r="D54" s="56">
        <v>1</v>
      </c>
      <c r="E54" s="56" t="s">
        <v>47</v>
      </c>
      <c r="F54" s="56" t="s">
        <v>420</v>
      </c>
      <c r="G54" s="56">
        <v>1</v>
      </c>
      <c r="H54" s="90" t="s">
        <v>574</v>
      </c>
      <c r="I54" s="65">
        <v>1</v>
      </c>
      <c r="J54" s="56" t="s">
        <v>203</v>
      </c>
      <c r="N54" t="s">
        <v>256</v>
      </c>
      <c r="O54" t="s">
        <v>90</v>
      </c>
      <c r="P54" t="s">
        <v>90</v>
      </c>
      <c r="Q54" t="s">
        <v>90</v>
      </c>
      <c r="R54" t="s">
        <v>90</v>
      </c>
      <c r="S54" t="s">
        <v>90</v>
      </c>
      <c r="T54" t="s">
        <v>90</v>
      </c>
      <c r="U54" t="s">
        <v>90</v>
      </c>
      <c r="V54" t="s">
        <v>90</v>
      </c>
    </row>
    <row r="55" spans="1:22" ht="20">
      <c r="A55" s="46">
        <v>37054</v>
      </c>
      <c r="B55" s="55" t="s">
        <v>570</v>
      </c>
      <c r="C55" s="45" t="s">
        <v>431</v>
      </c>
      <c r="D55" s="47">
        <v>1</v>
      </c>
      <c r="E55" s="56" t="s">
        <v>47</v>
      </c>
      <c r="F55" s="47" t="s">
        <v>420</v>
      </c>
      <c r="G55" s="47">
        <v>1</v>
      </c>
      <c r="H55" s="90" t="s">
        <v>575</v>
      </c>
      <c r="I55" s="48">
        <v>1</v>
      </c>
      <c r="J55" s="47" t="s">
        <v>203</v>
      </c>
      <c r="N55" t="s">
        <v>256</v>
      </c>
      <c r="O55" t="s">
        <v>90</v>
      </c>
      <c r="P55" t="s">
        <v>90</v>
      </c>
      <c r="Q55" t="s">
        <v>90</v>
      </c>
      <c r="R55" t="s">
        <v>90</v>
      </c>
      <c r="S55" t="s">
        <v>90</v>
      </c>
      <c r="T55" t="s">
        <v>90</v>
      </c>
      <c r="U55" t="s">
        <v>90</v>
      </c>
      <c r="V55" t="s">
        <v>90</v>
      </c>
    </row>
    <row r="56" spans="1:22" ht="20">
      <c r="A56" s="46">
        <v>37055</v>
      </c>
      <c r="B56" s="55" t="s">
        <v>570</v>
      </c>
      <c r="C56" s="45" t="s">
        <v>432</v>
      </c>
      <c r="D56" s="47">
        <v>1</v>
      </c>
      <c r="E56" s="47" t="s">
        <v>47</v>
      </c>
      <c r="F56" s="47" t="s">
        <v>420</v>
      </c>
      <c r="G56" s="47">
        <v>1</v>
      </c>
      <c r="H56" s="90" t="s">
        <v>576</v>
      </c>
      <c r="I56" s="48">
        <v>1</v>
      </c>
      <c r="J56" s="47" t="s">
        <v>203</v>
      </c>
      <c r="N56" t="s">
        <v>256</v>
      </c>
      <c r="O56" t="s">
        <v>90</v>
      </c>
      <c r="P56" t="s">
        <v>90</v>
      </c>
      <c r="Q56" t="s">
        <v>90</v>
      </c>
      <c r="R56" t="s">
        <v>90</v>
      </c>
      <c r="S56" t="s">
        <v>90</v>
      </c>
      <c r="T56" t="s">
        <v>90</v>
      </c>
      <c r="U56" t="s">
        <v>90</v>
      </c>
      <c r="V56" t="s">
        <v>90</v>
      </c>
    </row>
    <row r="57" spans="1:22" ht="20">
      <c r="A57" s="46">
        <v>37056</v>
      </c>
      <c r="B57" s="45" t="s">
        <v>571</v>
      </c>
      <c r="C57" s="45" t="s">
        <v>425</v>
      </c>
      <c r="D57" s="47">
        <v>1</v>
      </c>
      <c r="E57" s="47" t="s">
        <v>47</v>
      </c>
      <c r="F57" s="47" t="s">
        <v>421</v>
      </c>
      <c r="G57" s="47">
        <v>2</v>
      </c>
      <c r="H57" s="90" t="s">
        <v>577</v>
      </c>
      <c r="I57" s="48">
        <v>1</v>
      </c>
      <c r="J57" s="47" t="s">
        <v>203</v>
      </c>
      <c r="N57" t="s">
        <v>256</v>
      </c>
      <c r="O57" t="s">
        <v>90</v>
      </c>
      <c r="P57" t="s">
        <v>90</v>
      </c>
      <c r="Q57" t="s">
        <v>90</v>
      </c>
      <c r="R57" t="s">
        <v>90</v>
      </c>
      <c r="S57" t="s">
        <v>90</v>
      </c>
      <c r="T57" t="s">
        <v>90</v>
      </c>
      <c r="U57" t="s">
        <v>90</v>
      </c>
      <c r="V57" t="s">
        <v>90</v>
      </c>
    </row>
    <row r="58" spans="1:22" ht="20">
      <c r="A58" s="46">
        <v>37057</v>
      </c>
      <c r="B58" s="45" t="s">
        <v>571</v>
      </c>
      <c r="C58" s="45" t="s">
        <v>426</v>
      </c>
      <c r="D58" s="47">
        <v>1</v>
      </c>
      <c r="E58" s="47" t="s">
        <v>47</v>
      </c>
      <c r="F58" s="47" t="s">
        <v>421</v>
      </c>
      <c r="G58" s="47">
        <v>2</v>
      </c>
      <c r="H58" s="90" t="s">
        <v>578</v>
      </c>
      <c r="I58" s="48">
        <v>1</v>
      </c>
      <c r="J58" s="47" t="s">
        <v>203</v>
      </c>
      <c r="N58" t="s">
        <v>256</v>
      </c>
      <c r="O58" t="s">
        <v>90</v>
      </c>
      <c r="P58" t="s">
        <v>90</v>
      </c>
      <c r="Q58" t="s">
        <v>90</v>
      </c>
      <c r="R58" t="s">
        <v>90</v>
      </c>
      <c r="S58" t="s">
        <v>90</v>
      </c>
      <c r="T58" t="s">
        <v>90</v>
      </c>
      <c r="U58" t="s">
        <v>90</v>
      </c>
      <c r="V58" t="s">
        <v>90</v>
      </c>
    </row>
    <row r="59" spans="1:22" ht="20">
      <c r="A59" s="46">
        <v>37058</v>
      </c>
      <c r="B59" s="45" t="s">
        <v>571</v>
      </c>
      <c r="C59" s="45" t="s">
        <v>427</v>
      </c>
      <c r="D59" s="47">
        <v>1</v>
      </c>
      <c r="E59" s="47" t="s">
        <v>47</v>
      </c>
      <c r="F59" s="47" t="s">
        <v>421</v>
      </c>
      <c r="G59" s="47">
        <v>2</v>
      </c>
      <c r="H59" s="90" t="s">
        <v>579</v>
      </c>
      <c r="I59" s="48">
        <v>1</v>
      </c>
      <c r="J59" s="47" t="s">
        <v>203</v>
      </c>
      <c r="N59" t="s">
        <v>256</v>
      </c>
      <c r="O59" t="s">
        <v>90</v>
      </c>
      <c r="P59" t="s">
        <v>90</v>
      </c>
      <c r="Q59" t="s">
        <v>90</v>
      </c>
      <c r="R59" t="s">
        <v>90</v>
      </c>
      <c r="S59" t="s">
        <v>90</v>
      </c>
      <c r="T59" t="s">
        <v>90</v>
      </c>
      <c r="U59" t="s">
        <v>90</v>
      </c>
      <c r="V59" t="s">
        <v>90</v>
      </c>
    </row>
    <row r="60" spans="1:22" ht="20">
      <c r="A60" s="46">
        <v>37059</v>
      </c>
      <c r="B60" s="45" t="s">
        <v>571</v>
      </c>
      <c r="C60" s="45" t="s">
        <v>428</v>
      </c>
      <c r="D60" s="47">
        <v>1</v>
      </c>
      <c r="E60" s="47" t="s">
        <v>47</v>
      </c>
      <c r="F60" s="47" t="s">
        <v>421</v>
      </c>
      <c r="G60" s="47">
        <v>2</v>
      </c>
      <c r="H60" s="90" t="s">
        <v>580</v>
      </c>
      <c r="I60" s="48">
        <v>1</v>
      </c>
      <c r="J60" s="47" t="s">
        <v>203</v>
      </c>
      <c r="N60" t="s">
        <v>256</v>
      </c>
      <c r="O60" t="s">
        <v>90</v>
      </c>
      <c r="P60" t="s">
        <v>90</v>
      </c>
      <c r="Q60" t="s">
        <v>90</v>
      </c>
      <c r="R60" t="s">
        <v>90</v>
      </c>
      <c r="S60" t="s">
        <v>90</v>
      </c>
      <c r="T60" t="s">
        <v>90</v>
      </c>
      <c r="U60" t="s">
        <v>90</v>
      </c>
      <c r="V60" t="s">
        <v>90</v>
      </c>
    </row>
    <row r="61" spans="1:22" ht="20">
      <c r="A61" s="46">
        <v>37060</v>
      </c>
      <c r="B61" s="45" t="s">
        <v>571</v>
      </c>
      <c r="C61" s="45" t="s">
        <v>429</v>
      </c>
      <c r="D61" s="47">
        <v>1</v>
      </c>
      <c r="E61" s="47" t="s">
        <v>47</v>
      </c>
      <c r="F61" s="47" t="s">
        <v>421</v>
      </c>
      <c r="G61" s="47">
        <v>2</v>
      </c>
      <c r="H61" s="90" t="s">
        <v>581</v>
      </c>
      <c r="I61" s="48">
        <v>1</v>
      </c>
      <c r="J61" s="47" t="s">
        <v>203</v>
      </c>
      <c r="N61" t="s">
        <v>256</v>
      </c>
      <c r="O61" t="s">
        <v>90</v>
      </c>
      <c r="P61" t="s">
        <v>90</v>
      </c>
      <c r="Q61" t="s">
        <v>90</v>
      </c>
      <c r="R61" t="s">
        <v>90</v>
      </c>
      <c r="S61" t="s">
        <v>90</v>
      </c>
      <c r="T61" t="s">
        <v>90</v>
      </c>
      <c r="U61" t="s">
        <v>90</v>
      </c>
      <c r="V61" t="s">
        <v>90</v>
      </c>
    </row>
    <row r="62" spans="1:22" ht="20">
      <c r="A62" s="46">
        <v>37061</v>
      </c>
      <c r="B62" s="45" t="s">
        <v>571</v>
      </c>
      <c r="C62" s="45" t="s">
        <v>430</v>
      </c>
      <c r="D62" s="47">
        <v>1</v>
      </c>
      <c r="E62" s="47" t="s">
        <v>47</v>
      </c>
      <c r="F62" s="47" t="s">
        <v>421</v>
      </c>
      <c r="G62" s="47">
        <v>2</v>
      </c>
      <c r="H62" s="90" t="s">
        <v>582</v>
      </c>
      <c r="I62" s="48">
        <v>1</v>
      </c>
      <c r="J62" s="47" t="s">
        <v>203</v>
      </c>
      <c r="N62" t="s">
        <v>256</v>
      </c>
      <c r="O62" t="s">
        <v>90</v>
      </c>
      <c r="P62" t="s">
        <v>90</v>
      </c>
      <c r="Q62" t="s">
        <v>90</v>
      </c>
      <c r="R62" t="s">
        <v>90</v>
      </c>
      <c r="S62" t="s">
        <v>90</v>
      </c>
      <c r="T62" t="s">
        <v>90</v>
      </c>
      <c r="U62" t="s">
        <v>90</v>
      </c>
      <c r="V62" t="s">
        <v>90</v>
      </c>
    </row>
    <row r="63" spans="1:22" ht="20">
      <c r="A63" s="46">
        <v>37062</v>
      </c>
      <c r="B63" s="45" t="s">
        <v>571</v>
      </c>
      <c r="C63" s="45" t="s">
        <v>431</v>
      </c>
      <c r="D63" s="47">
        <v>1</v>
      </c>
      <c r="E63" s="47" t="s">
        <v>47</v>
      </c>
      <c r="F63" s="47" t="s">
        <v>421</v>
      </c>
      <c r="G63" s="47">
        <v>2</v>
      </c>
      <c r="H63" s="90" t="s">
        <v>583</v>
      </c>
      <c r="I63" s="48">
        <v>1</v>
      </c>
      <c r="J63" s="47" t="s">
        <v>203</v>
      </c>
      <c r="N63" t="s">
        <v>256</v>
      </c>
      <c r="O63" t="s">
        <v>90</v>
      </c>
      <c r="P63" t="s">
        <v>90</v>
      </c>
      <c r="Q63" t="s">
        <v>90</v>
      </c>
      <c r="R63" t="s">
        <v>90</v>
      </c>
      <c r="S63" t="s">
        <v>90</v>
      </c>
      <c r="T63" t="s">
        <v>90</v>
      </c>
      <c r="U63" t="s">
        <v>90</v>
      </c>
      <c r="V63" t="s">
        <v>90</v>
      </c>
    </row>
    <row r="64" spans="1:22" ht="20">
      <c r="A64" s="46">
        <v>37063</v>
      </c>
      <c r="B64" s="45" t="s">
        <v>571</v>
      </c>
      <c r="C64" s="45" t="s">
        <v>432</v>
      </c>
      <c r="D64" s="47">
        <v>1</v>
      </c>
      <c r="E64" s="47" t="s">
        <v>47</v>
      </c>
      <c r="F64" s="47" t="s">
        <v>421</v>
      </c>
      <c r="G64" s="47">
        <v>2</v>
      </c>
      <c r="H64" s="90" t="s">
        <v>584</v>
      </c>
      <c r="I64" s="48">
        <v>1</v>
      </c>
      <c r="J64" s="47" t="s">
        <v>203</v>
      </c>
      <c r="N64" t="s">
        <v>256</v>
      </c>
      <c r="O64" t="s">
        <v>90</v>
      </c>
      <c r="P64" t="s">
        <v>90</v>
      </c>
      <c r="Q64" t="s">
        <v>90</v>
      </c>
      <c r="R64" t="s">
        <v>90</v>
      </c>
      <c r="S64" t="s">
        <v>90</v>
      </c>
      <c r="T64" t="s">
        <v>90</v>
      </c>
      <c r="U64" t="s">
        <v>90</v>
      </c>
      <c r="V64" t="s">
        <v>90</v>
      </c>
    </row>
    <row r="65" spans="1:22" ht="20">
      <c r="A65" s="46">
        <v>37064</v>
      </c>
      <c r="B65" s="45" t="s">
        <v>622</v>
      </c>
      <c r="C65" s="45" t="s">
        <v>77</v>
      </c>
      <c r="D65" s="47">
        <v>1</v>
      </c>
      <c r="E65" s="47" t="s">
        <v>69</v>
      </c>
      <c r="F65" s="47" t="s">
        <v>419</v>
      </c>
      <c r="G65" s="47">
        <v>2</v>
      </c>
      <c r="H65" s="90" t="s">
        <v>585</v>
      </c>
      <c r="I65" s="48">
        <v>1</v>
      </c>
      <c r="J65" s="47" t="s">
        <v>203</v>
      </c>
      <c r="N65" t="s">
        <v>256</v>
      </c>
      <c r="O65" t="s">
        <v>90</v>
      </c>
      <c r="P65" t="s">
        <v>90</v>
      </c>
      <c r="Q65" t="s">
        <v>90</v>
      </c>
      <c r="R65" t="s">
        <v>90</v>
      </c>
      <c r="S65" t="s">
        <v>90</v>
      </c>
      <c r="T65" t="s">
        <v>90</v>
      </c>
      <c r="U65" t="s">
        <v>90</v>
      </c>
      <c r="V65" t="s">
        <v>90</v>
      </c>
    </row>
    <row r="66" spans="1:22" ht="20">
      <c r="A66" s="46">
        <v>37065</v>
      </c>
      <c r="B66" s="45" t="s">
        <v>622</v>
      </c>
      <c r="C66" s="45" t="s">
        <v>78</v>
      </c>
      <c r="D66" s="47">
        <v>1</v>
      </c>
      <c r="E66" s="47" t="s">
        <v>69</v>
      </c>
      <c r="F66" s="47" t="s">
        <v>419</v>
      </c>
      <c r="G66" s="47">
        <v>2</v>
      </c>
      <c r="H66" s="90" t="s">
        <v>586</v>
      </c>
      <c r="I66" s="48">
        <v>1</v>
      </c>
      <c r="J66" s="47" t="s">
        <v>203</v>
      </c>
      <c r="N66" t="s">
        <v>256</v>
      </c>
      <c r="O66" t="s">
        <v>90</v>
      </c>
      <c r="P66" t="s">
        <v>90</v>
      </c>
      <c r="Q66" t="s">
        <v>90</v>
      </c>
      <c r="R66" t="s">
        <v>90</v>
      </c>
      <c r="S66" t="s">
        <v>90</v>
      </c>
      <c r="T66" t="s">
        <v>90</v>
      </c>
      <c r="U66" t="s">
        <v>90</v>
      </c>
      <c r="V66" t="s">
        <v>90</v>
      </c>
    </row>
    <row r="67" spans="1:22" ht="20">
      <c r="A67" s="46">
        <v>37066</v>
      </c>
      <c r="B67" s="45" t="s">
        <v>622</v>
      </c>
      <c r="C67" s="45" t="s">
        <v>71</v>
      </c>
      <c r="D67" s="47">
        <v>1</v>
      </c>
      <c r="E67" s="47" t="s">
        <v>69</v>
      </c>
      <c r="F67" s="47" t="s">
        <v>419</v>
      </c>
      <c r="G67" s="47">
        <v>2</v>
      </c>
      <c r="H67" s="90" t="s">
        <v>587</v>
      </c>
      <c r="I67" s="48">
        <v>1</v>
      </c>
      <c r="J67" s="47" t="s">
        <v>203</v>
      </c>
      <c r="N67" t="s">
        <v>256</v>
      </c>
      <c r="O67" t="s">
        <v>90</v>
      </c>
      <c r="P67" t="s">
        <v>90</v>
      </c>
      <c r="Q67" t="s">
        <v>90</v>
      </c>
      <c r="R67" t="s">
        <v>90</v>
      </c>
      <c r="S67" t="s">
        <v>90</v>
      </c>
      <c r="T67" t="s">
        <v>90</v>
      </c>
      <c r="U67" t="s">
        <v>90</v>
      </c>
      <c r="V67" t="s">
        <v>90</v>
      </c>
    </row>
    <row r="68" spans="1:22" ht="20">
      <c r="A68" s="46">
        <v>37067</v>
      </c>
      <c r="B68" s="45" t="s">
        <v>622</v>
      </c>
      <c r="C68" s="45" t="s">
        <v>79</v>
      </c>
      <c r="D68" s="47">
        <v>1</v>
      </c>
      <c r="E68" s="47" t="s">
        <v>69</v>
      </c>
      <c r="F68" s="47" t="s">
        <v>419</v>
      </c>
      <c r="G68" s="47">
        <v>2</v>
      </c>
      <c r="H68" s="90" t="s">
        <v>588</v>
      </c>
      <c r="I68" s="48">
        <v>1</v>
      </c>
      <c r="J68" s="47" t="s">
        <v>203</v>
      </c>
      <c r="N68" t="s">
        <v>256</v>
      </c>
      <c r="O68" t="s">
        <v>90</v>
      </c>
      <c r="P68" t="s">
        <v>90</v>
      </c>
      <c r="Q68" t="s">
        <v>90</v>
      </c>
      <c r="R68" t="s">
        <v>90</v>
      </c>
      <c r="S68" t="s">
        <v>90</v>
      </c>
      <c r="T68" t="s">
        <v>90</v>
      </c>
      <c r="U68" t="s">
        <v>90</v>
      </c>
      <c r="V68" t="s">
        <v>90</v>
      </c>
    </row>
    <row r="69" spans="1:22" ht="20">
      <c r="A69" s="46">
        <v>37068</v>
      </c>
      <c r="B69" s="45" t="s">
        <v>622</v>
      </c>
      <c r="C69" s="45" t="s">
        <v>80</v>
      </c>
      <c r="D69" s="47">
        <v>1</v>
      </c>
      <c r="E69" s="47" t="s">
        <v>69</v>
      </c>
      <c r="F69" s="47" t="s">
        <v>418</v>
      </c>
      <c r="G69" s="47">
        <v>1</v>
      </c>
      <c r="H69" s="90" t="s">
        <v>589</v>
      </c>
      <c r="I69" s="48">
        <v>1</v>
      </c>
      <c r="J69" s="47" t="s">
        <v>203</v>
      </c>
      <c r="N69" t="s">
        <v>256</v>
      </c>
      <c r="O69" t="s">
        <v>90</v>
      </c>
      <c r="P69" t="s">
        <v>90</v>
      </c>
      <c r="Q69" t="s">
        <v>90</v>
      </c>
      <c r="R69" t="s">
        <v>90</v>
      </c>
      <c r="S69" t="s">
        <v>90</v>
      </c>
      <c r="T69" t="s">
        <v>90</v>
      </c>
      <c r="U69" t="s">
        <v>90</v>
      </c>
      <c r="V69" t="s">
        <v>90</v>
      </c>
    </row>
    <row r="70" spans="1:22" ht="20">
      <c r="A70" s="46">
        <v>37069</v>
      </c>
      <c r="B70" s="45" t="s">
        <v>622</v>
      </c>
      <c r="C70" s="45" t="s">
        <v>81</v>
      </c>
      <c r="D70" s="47">
        <v>1</v>
      </c>
      <c r="E70" s="47" t="s">
        <v>69</v>
      </c>
      <c r="F70" s="47" t="s">
        <v>418</v>
      </c>
      <c r="G70" s="47">
        <v>1</v>
      </c>
      <c r="H70" s="90" t="s">
        <v>590</v>
      </c>
      <c r="I70" s="48">
        <v>1</v>
      </c>
      <c r="J70" s="47" t="s">
        <v>203</v>
      </c>
      <c r="N70" t="s">
        <v>256</v>
      </c>
      <c r="O70" t="s">
        <v>90</v>
      </c>
      <c r="P70" t="s">
        <v>90</v>
      </c>
      <c r="Q70" t="s">
        <v>90</v>
      </c>
      <c r="R70" t="s">
        <v>90</v>
      </c>
      <c r="S70" t="s">
        <v>90</v>
      </c>
      <c r="T70" t="s">
        <v>90</v>
      </c>
      <c r="U70" t="s">
        <v>90</v>
      </c>
      <c r="V70" t="s">
        <v>90</v>
      </c>
    </row>
    <row r="71" spans="1:22" ht="20">
      <c r="A71" s="46">
        <v>37070</v>
      </c>
      <c r="B71" s="45" t="s">
        <v>622</v>
      </c>
      <c r="C71" s="45" t="s">
        <v>74</v>
      </c>
      <c r="D71" s="47">
        <v>1</v>
      </c>
      <c r="E71" s="47" t="s">
        <v>69</v>
      </c>
      <c r="F71" s="47" t="s">
        <v>419</v>
      </c>
      <c r="G71" s="47">
        <v>2</v>
      </c>
      <c r="H71" s="90" t="s">
        <v>591</v>
      </c>
      <c r="I71" s="48">
        <v>1</v>
      </c>
      <c r="J71" s="47" t="s">
        <v>203</v>
      </c>
      <c r="N71" t="s">
        <v>256</v>
      </c>
      <c r="O71" t="s">
        <v>90</v>
      </c>
      <c r="P71" t="s">
        <v>90</v>
      </c>
      <c r="Q71" t="s">
        <v>90</v>
      </c>
      <c r="R71" t="s">
        <v>90</v>
      </c>
      <c r="S71" t="s">
        <v>90</v>
      </c>
      <c r="T71" t="s">
        <v>90</v>
      </c>
      <c r="U71" t="s">
        <v>90</v>
      </c>
      <c r="V71" t="s">
        <v>90</v>
      </c>
    </row>
    <row r="72" spans="1:22" ht="20">
      <c r="A72" s="46">
        <v>37071</v>
      </c>
      <c r="B72" s="45" t="s">
        <v>622</v>
      </c>
      <c r="C72" s="45" t="s">
        <v>85</v>
      </c>
      <c r="D72" s="47">
        <v>1</v>
      </c>
      <c r="E72" s="47" t="s">
        <v>69</v>
      </c>
      <c r="F72" s="47" t="s">
        <v>418</v>
      </c>
      <c r="G72" s="47">
        <v>1</v>
      </c>
      <c r="H72" s="90" t="s">
        <v>592</v>
      </c>
      <c r="I72" s="48">
        <v>1</v>
      </c>
      <c r="J72" s="47" t="s">
        <v>203</v>
      </c>
      <c r="N72" t="s">
        <v>256</v>
      </c>
      <c r="O72" t="s">
        <v>90</v>
      </c>
      <c r="P72" t="s">
        <v>90</v>
      </c>
      <c r="Q72" t="s">
        <v>90</v>
      </c>
      <c r="R72" t="s">
        <v>90</v>
      </c>
      <c r="S72" t="s">
        <v>90</v>
      </c>
      <c r="T72" t="s">
        <v>90</v>
      </c>
      <c r="U72" t="s">
        <v>90</v>
      </c>
      <c r="V72" t="s">
        <v>90</v>
      </c>
    </row>
    <row r="73" spans="1:22" ht="20">
      <c r="A73" s="46">
        <v>37072</v>
      </c>
      <c r="B73" s="45" t="s">
        <v>622</v>
      </c>
      <c r="C73" s="45" t="s">
        <v>86</v>
      </c>
      <c r="D73" s="47">
        <v>1</v>
      </c>
      <c r="E73" s="47" t="s">
        <v>69</v>
      </c>
      <c r="F73" s="47" t="s">
        <v>418</v>
      </c>
      <c r="G73" s="47">
        <v>1</v>
      </c>
      <c r="H73" s="90" t="s">
        <v>593</v>
      </c>
      <c r="I73" s="48">
        <v>1</v>
      </c>
      <c r="J73" s="47" t="s">
        <v>203</v>
      </c>
      <c r="N73" t="s">
        <v>256</v>
      </c>
      <c r="O73" t="s">
        <v>90</v>
      </c>
      <c r="P73" t="s">
        <v>90</v>
      </c>
      <c r="Q73" t="s">
        <v>90</v>
      </c>
      <c r="R73" t="s">
        <v>90</v>
      </c>
      <c r="S73" t="s">
        <v>90</v>
      </c>
      <c r="T73" t="s">
        <v>90</v>
      </c>
      <c r="U73" t="s">
        <v>90</v>
      </c>
      <c r="V73" t="s">
        <v>90</v>
      </c>
    </row>
    <row r="74" spans="1:22" ht="20">
      <c r="A74" s="46">
        <v>37073</v>
      </c>
      <c r="B74" s="45" t="s">
        <v>622</v>
      </c>
      <c r="C74" s="45" t="s">
        <v>87</v>
      </c>
      <c r="D74" s="47">
        <v>1</v>
      </c>
      <c r="E74" s="47" t="s">
        <v>69</v>
      </c>
      <c r="F74" s="47" t="s">
        <v>418</v>
      </c>
      <c r="G74" s="47">
        <v>1</v>
      </c>
      <c r="H74" s="90" t="s">
        <v>594</v>
      </c>
      <c r="I74" s="48">
        <v>1</v>
      </c>
      <c r="J74" s="47" t="s">
        <v>203</v>
      </c>
      <c r="N74" t="s">
        <v>256</v>
      </c>
      <c r="O74" t="s">
        <v>90</v>
      </c>
      <c r="P74" t="s">
        <v>90</v>
      </c>
      <c r="Q74" t="s">
        <v>90</v>
      </c>
      <c r="R74" t="s">
        <v>90</v>
      </c>
      <c r="S74" t="s">
        <v>90</v>
      </c>
      <c r="T74" t="s">
        <v>90</v>
      </c>
      <c r="U74" t="s">
        <v>90</v>
      </c>
      <c r="V74" t="s">
        <v>90</v>
      </c>
    </row>
    <row r="75" spans="1:22" ht="20">
      <c r="A75" s="46">
        <v>37074</v>
      </c>
      <c r="B75" s="45" t="s">
        <v>621</v>
      </c>
      <c r="C75" s="45" t="s">
        <v>77</v>
      </c>
      <c r="D75" s="47">
        <v>1</v>
      </c>
      <c r="E75" s="47" t="s">
        <v>47</v>
      </c>
      <c r="F75" s="47" t="s">
        <v>88</v>
      </c>
      <c r="G75" s="47">
        <v>2</v>
      </c>
      <c r="H75" s="90" t="s">
        <v>595</v>
      </c>
      <c r="I75" s="48">
        <v>1</v>
      </c>
      <c r="J75" s="47" t="s">
        <v>203</v>
      </c>
      <c r="N75" t="s">
        <v>256</v>
      </c>
      <c r="O75" t="s">
        <v>90</v>
      </c>
      <c r="P75" t="s">
        <v>90</v>
      </c>
      <c r="Q75" t="s">
        <v>90</v>
      </c>
      <c r="R75" t="s">
        <v>90</v>
      </c>
      <c r="S75" t="s">
        <v>90</v>
      </c>
      <c r="T75" t="s">
        <v>90</v>
      </c>
      <c r="U75" t="s">
        <v>90</v>
      </c>
      <c r="V75" t="s">
        <v>90</v>
      </c>
    </row>
    <row r="76" spans="1:22" ht="20">
      <c r="A76" s="46">
        <v>37075</v>
      </c>
      <c r="B76" s="45" t="s">
        <v>621</v>
      </c>
      <c r="C76" s="45" t="s">
        <v>78</v>
      </c>
      <c r="D76" s="47">
        <v>1</v>
      </c>
      <c r="E76" s="47" t="s">
        <v>47</v>
      </c>
      <c r="F76" s="47" t="s">
        <v>88</v>
      </c>
      <c r="G76" s="47">
        <v>2</v>
      </c>
      <c r="H76" s="90" t="s">
        <v>596</v>
      </c>
      <c r="I76" s="48">
        <v>1</v>
      </c>
      <c r="J76" s="47" t="s">
        <v>203</v>
      </c>
      <c r="N76" t="s">
        <v>256</v>
      </c>
      <c r="O76" t="s">
        <v>90</v>
      </c>
      <c r="P76" t="s">
        <v>90</v>
      </c>
      <c r="Q76" t="s">
        <v>90</v>
      </c>
      <c r="R76" t="s">
        <v>90</v>
      </c>
      <c r="S76" t="s">
        <v>90</v>
      </c>
      <c r="T76" t="s">
        <v>90</v>
      </c>
      <c r="U76" t="s">
        <v>90</v>
      </c>
      <c r="V76" t="s">
        <v>90</v>
      </c>
    </row>
    <row r="77" spans="1:22" ht="20">
      <c r="A77" s="46">
        <v>37076</v>
      </c>
      <c r="B77" s="45" t="s">
        <v>621</v>
      </c>
      <c r="C77" s="45" t="s">
        <v>71</v>
      </c>
      <c r="D77" s="47">
        <v>1</v>
      </c>
      <c r="E77" s="47" t="s">
        <v>47</v>
      </c>
      <c r="F77" s="47" t="s">
        <v>88</v>
      </c>
      <c r="G77" s="47">
        <v>2</v>
      </c>
      <c r="H77" s="90" t="s">
        <v>597</v>
      </c>
      <c r="I77" s="48">
        <v>1</v>
      </c>
      <c r="J77" s="47" t="s">
        <v>203</v>
      </c>
      <c r="N77" t="s">
        <v>256</v>
      </c>
      <c r="O77" t="s">
        <v>90</v>
      </c>
      <c r="P77" t="s">
        <v>90</v>
      </c>
      <c r="Q77" t="s">
        <v>90</v>
      </c>
      <c r="R77" t="s">
        <v>90</v>
      </c>
      <c r="S77" t="s">
        <v>90</v>
      </c>
      <c r="T77" t="s">
        <v>90</v>
      </c>
      <c r="U77" t="s">
        <v>90</v>
      </c>
      <c r="V77" t="s">
        <v>90</v>
      </c>
    </row>
    <row r="78" spans="1:22" ht="20">
      <c r="A78" s="46">
        <v>37077</v>
      </c>
      <c r="B78" s="45" t="s">
        <v>621</v>
      </c>
      <c r="C78" s="45" t="s">
        <v>79</v>
      </c>
      <c r="D78" s="47">
        <v>1</v>
      </c>
      <c r="E78" s="47" t="s">
        <v>47</v>
      </c>
      <c r="F78" s="47" t="s">
        <v>88</v>
      </c>
      <c r="G78" s="47">
        <v>2</v>
      </c>
      <c r="H78" s="90" t="s">
        <v>598</v>
      </c>
      <c r="I78" s="48">
        <v>1</v>
      </c>
      <c r="J78" s="47" t="s">
        <v>203</v>
      </c>
      <c r="N78" t="s">
        <v>256</v>
      </c>
      <c r="O78" t="s">
        <v>90</v>
      </c>
      <c r="P78" t="s">
        <v>90</v>
      </c>
      <c r="Q78" t="s">
        <v>90</v>
      </c>
      <c r="R78" t="s">
        <v>90</v>
      </c>
      <c r="S78" t="s">
        <v>90</v>
      </c>
      <c r="T78" t="s">
        <v>90</v>
      </c>
      <c r="U78" t="s">
        <v>90</v>
      </c>
      <c r="V78" t="s">
        <v>90</v>
      </c>
    </row>
    <row r="79" spans="1:22" ht="20">
      <c r="A79" s="46">
        <v>37078</v>
      </c>
      <c r="B79" s="45" t="s">
        <v>621</v>
      </c>
      <c r="C79" s="45" t="s">
        <v>80</v>
      </c>
      <c r="D79" s="47">
        <v>1</v>
      </c>
      <c r="E79" s="47" t="s">
        <v>47</v>
      </c>
      <c r="F79" s="47" t="s">
        <v>89</v>
      </c>
      <c r="G79" s="47">
        <v>1</v>
      </c>
      <c r="H79" s="90" t="s">
        <v>599</v>
      </c>
      <c r="I79" s="48">
        <v>1</v>
      </c>
      <c r="J79" s="47" t="s">
        <v>203</v>
      </c>
      <c r="N79" t="s">
        <v>256</v>
      </c>
      <c r="O79" t="s">
        <v>90</v>
      </c>
      <c r="P79" t="s">
        <v>90</v>
      </c>
      <c r="Q79" t="s">
        <v>90</v>
      </c>
      <c r="R79" t="s">
        <v>90</v>
      </c>
      <c r="S79" t="s">
        <v>90</v>
      </c>
      <c r="T79" t="s">
        <v>90</v>
      </c>
      <c r="U79" t="s">
        <v>90</v>
      </c>
      <c r="V79" t="s">
        <v>90</v>
      </c>
    </row>
    <row r="80" spans="1:22" ht="20">
      <c r="A80" s="46">
        <v>37079</v>
      </c>
      <c r="B80" s="45" t="s">
        <v>621</v>
      </c>
      <c r="C80" s="45" t="s">
        <v>81</v>
      </c>
      <c r="D80" s="47">
        <v>1</v>
      </c>
      <c r="E80" s="47" t="s">
        <v>47</v>
      </c>
      <c r="F80" s="47" t="s">
        <v>89</v>
      </c>
      <c r="G80" s="47">
        <v>1</v>
      </c>
      <c r="H80" s="90" t="s">
        <v>600</v>
      </c>
      <c r="I80" s="48">
        <v>1</v>
      </c>
      <c r="J80" s="47" t="s">
        <v>203</v>
      </c>
      <c r="N80" t="s">
        <v>256</v>
      </c>
      <c r="O80" t="s">
        <v>90</v>
      </c>
      <c r="P80" t="s">
        <v>90</v>
      </c>
      <c r="Q80" t="s">
        <v>90</v>
      </c>
      <c r="R80" t="s">
        <v>90</v>
      </c>
      <c r="S80" t="s">
        <v>90</v>
      </c>
      <c r="T80" t="s">
        <v>90</v>
      </c>
      <c r="U80" t="s">
        <v>90</v>
      </c>
      <c r="V80" t="s">
        <v>90</v>
      </c>
    </row>
    <row r="81" spans="1:22" ht="20">
      <c r="A81" s="46">
        <v>37080</v>
      </c>
      <c r="B81" s="45" t="s">
        <v>621</v>
      </c>
      <c r="C81" s="45" t="s">
        <v>74</v>
      </c>
      <c r="D81" s="47">
        <v>1</v>
      </c>
      <c r="E81" s="47" t="s">
        <v>47</v>
      </c>
      <c r="F81" s="47" t="s">
        <v>88</v>
      </c>
      <c r="G81" s="47">
        <v>2</v>
      </c>
      <c r="H81" s="90" t="s">
        <v>601</v>
      </c>
      <c r="I81" s="48">
        <v>1</v>
      </c>
      <c r="J81" s="47" t="s">
        <v>203</v>
      </c>
      <c r="N81" t="s">
        <v>256</v>
      </c>
      <c r="O81" t="s">
        <v>90</v>
      </c>
      <c r="P81" t="s">
        <v>90</v>
      </c>
      <c r="Q81" t="s">
        <v>90</v>
      </c>
      <c r="R81" t="s">
        <v>90</v>
      </c>
      <c r="S81" t="s">
        <v>90</v>
      </c>
      <c r="T81" t="s">
        <v>90</v>
      </c>
      <c r="U81" t="s">
        <v>90</v>
      </c>
      <c r="V81" t="s">
        <v>90</v>
      </c>
    </row>
    <row r="82" spans="1:22" ht="20">
      <c r="A82" s="46">
        <v>37081</v>
      </c>
      <c r="B82" s="45" t="s">
        <v>621</v>
      </c>
      <c r="C82" s="45" t="s">
        <v>85</v>
      </c>
      <c r="D82" s="47">
        <v>1</v>
      </c>
      <c r="E82" s="47" t="s">
        <v>47</v>
      </c>
      <c r="F82" s="47" t="s">
        <v>89</v>
      </c>
      <c r="G82" s="47">
        <v>1</v>
      </c>
      <c r="H82" s="90" t="s">
        <v>602</v>
      </c>
      <c r="I82" s="48">
        <v>1</v>
      </c>
      <c r="J82" s="47" t="s">
        <v>203</v>
      </c>
      <c r="N82" t="s">
        <v>256</v>
      </c>
      <c r="O82" t="s">
        <v>90</v>
      </c>
      <c r="P82" t="s">
        <v>90</v>
      </c>
      <c r="Q82" t="s">
        <v>90</v>
      </c>
      <c r="R82" t="s">
        <v>90</v>
      </c>
      <c r="S82" t="s">
        <v>90</v>
      </c>
      <c r="T82" t="s">
        <v>90</v>
      </c>
      <c r="U82" t="s">
        <v>90</v>
      </c>
      <c r="V82" t="s">
        <v>90</v>
      </c>
    </row>
    <row r="83" spans="1:22" ht="20">
      <c r="A83" s="46">
        <v>37082</v>
      </c>
      <c r="B83" s="45" t="s">
        <v>621</v>
      </c>
      <c r="C83" s="45" t="s">
        <v>86</v>
      </c>
      <c r="D83" s="47">
        <v>1</v>
      </c>
      <c r="E83" s="47" t="s">
        <v>47</v>
      </c>
      <c r="F83" s="47" t="s">
        <v>89</v>
      </c>
      <c r="G83" s="47">
        <v>1</v>
      </c>
      <c r="H83" s="90" t="s">
        <v>620</v>
      </c>
      <c r="I83" s="48">
        <v>1</v>
      </c>
      <c r="J83" s="47" t="s">
        <v>203</v>
      </c>
      <c r="N83" t="s">
        <v>256</v>
      </c>
      <c r="O83" t="s">
        <v>90</v>
      </c>
      <c r="P83" t="s">
        <v>90</v>
      </c>
      <c r="Q83" t="s">
        <v>90</v>
      </c>
      <c r="R83" t="s">
        <v>90</v>
      </c>
      <c r="S83" t="s">
        <v>90</v>
      </c>
      <c r="T83" t="s">
        <v>90</v>
      </c>
      <c r="U83" t="s">
        <v>90</v>
      </c>
      <c r="V83" t="s">
        <v>90</v>
      </c>
    </row>
    <row r="84" spans="1:22" ht="20">
      <c r="A84" s="46">
        <v>37083</v>
      </c>
      <c r="B84" s="45" t="s">
        <v>621</v>
      </c>
      <c r="C84" s="45" t="s">
        <v>87</v>
      </c>
      <c r="D84" s="47">
        <v>1</v>
      </c>
      <c r="E84" s="47" t="s">
        <v>47</v>
      </c>
      <c r="F84" s="47" t="s">
        <v>89</v>
      </c>
      <c r="G84" s="47">
        <v>1</v>
      </c>
      <c r="H84" s="90" t="s">
        <v>603</v>
      </c>
      <c r="I84" s="48">
        <v>1</v>
      </c>
      <c r="J84" s="47" t="s">
        <v>203</v>
      </c>
      <c r="N84" t="s">
        <v>256</v>
      </c>
      <c r="O84" t="s">
        <v>90</v>
      </c>
      <c r="P84" t="s">
        <v>90</v>
      </c>
      <c r="Q84" t="s">
        <v>90</v>
      </c>
      <c r="R84" t="s">
        <v>90</v>
      </c>
      <c r="S84" t="s">
        <v>90</v>
      </c>
      <c r="T84" t="s">
        <v>90</v>
      </c>
      <c r="U84" t="s">
        <v>90</v>
      </c>
      <c r="V84" t="s">
        <v>90</v>
      </c>
    </row>
    <row r="85" spans="1:22" ht="20">
      <c r="A85" s="46">
        <v>37084</v>
      </c>
      <c r="B85" s="45" t="s">
        <v>623</v>
      </c>
      <c r="C85" s="45" t="s">
        <v>212</v>
      </c>
      <c r="D85" s="47">
        <v>2</v>
      </c>
      <c r="E85" s="47" t="s">
        <v>434</v>
      </c>
      <c r="F85" s="47" t="s">
        <v>421</v>
      </c>
      <c r="G85" s="47">
        <v>1</v>
      </c>
      <c r="H85" s="90" t="s">
        <v>604</v>
      </c>
      <c r="I85" s="48">
        <v>1</v>
      </c>
      <c r="J85" s="47" t="s">
        <v>203</v>
      </c>
      <c r="N85" t="s">
        <v>256</v>
      </c>
      <c r="O85" t="s">
        <v>90</v>
      </c>
      <c r="P85" t="s">
        <v>90</v>
      </c>
      <c r="Q85" t="s">
        <v>90</v>
      </c>
      <c r="R85" t="s">
        <v>90</v>
      </c>
      <c r="S85" t="s">
        <v>90</v>
      </c>
      <c r="T85" t="s">
        <v>90</v>
      </c>
      <c r="U85" t="s">
        <v>90</v>
      </c>
      <c r="V85" t="s">
        <v>90</v>
      </c>
    </row>
    <row r="86" spans="1:22" ht="20">
      <c r="A86" s="46">
        <v>38044</v>
      </c>
      <c r="B86" s="45" t="s">
        <v>623</v>
      </c>
      <c r="C86" s="45" t="s">
        <v>213</v>
      </c>
      <c r="D86" s="47">
        <v>2</v>
      </c>
      <c r="E86" s="47" t="s">
        <v>434</v>
      </c>
      <c r="F86" s="47" t="s">
        <v>435</v>
      </c>
      <c r="G86" s="47">
        <v>1</v>
      </c>
      <c r="H86" s="90" t="s">
        <v>605</v>
      </c>
      <c r="I86" s="48">
        <v>1</v>
      </c>
      <c r="J86" s="47" t="s">
        <v>203</v>
      </c>
      <c r="N86" t="s">
        <v>256</v>
      </c>
      <c r="O86" t="s">
        <v>90</v>
      </c>
      <c r="P86" t="s">
        <v>90</v>
      </c>
      <c r="Q86" t="s">
        <v>90</v>
      </c>
      <c r="R86" t="s">
        <v>90</v>
      </c>
      <c r="S86" t="s">
        <v>90</v>
      </c>
      <c r="T86" t="s">
        <v>90</v>
      </c>
      <c r="U86" t="s">
        <v>90</v>
      </c>
      <c r="V86" t="s">
        <v>90</v>
      </c>
    </row>
    <row r="87" spans="1:22" ht="20">
      <c r="A87" s="46">
        <v>38045</v>
      </c>
      <c r="B87" s="45" t="s">
        <v>623</v>
      </c>
      <c r="C87" s="45" t="s">
        <v>436</v>
      </c>
      <c r="D87" s="47">
        <v>2</v>
      </c>
      <c r="E87" s="47" t="s">
        <v>434</v>
      </c>
      <c r="F87" s="47" t="s">
        <v>48</v>
      </c>
      <c r="G87" s="47">
        <v>1</v>
      </c>
      <c r="H87" s="90" t="s">
        <v>606</v>
      </c>
      <c r="I87" s="48">
        <v>1</v>
      </c>
      <c r="J87" s="47" t="s">
        <v>203</v>
      </c>
      <c r="N87" t="s">
        <v>256</v>
      </c>
      <c r="O87" t="s">
        <v>90</v>
      </c>
      <c r="P87" t="s">
        <v>90</v>
      </c>
      <c r="Q87" t="s">
        <v>90</v>
      </c>
      <c r="R87" t="s">
        <v>90</v>
      </c>
      <c r="S87" t="s">
        <v>90</v>
      </c>
      <c r="T87" t="s">
        <v>90</v>
      </c>
      <c r="U87" t="s">
        <v>90</v>
      </c>
      <c r="V87" t="s">
        <v>90</v>
      </c>
    </row>
    <row r="88" spans="1:22" ht="20">
      <c r="A88" s="46">
        <v>38046</v>
      </c>
      <c r="B88" s="45" t="s">
        <v>623</v>
      </c>
      <c r="C88" s="45" t="s">
        <v>437</v>
      </c>
      <c r="D88" s="47">
        <v>2</v>
      </c>
      <c r="E88" s="47" t="s">
        <v>434</v>
      </c>
      <c r="F88" s="47" t="s">
        <v>48</v>
      </c>
      <c r="G88" s="47">
        <v>1</v>
      </c>
      <c r="H88" s="90" t="s">
        <v>607</v>
      </c>
      <c r="I88" s="48">
        <v>1</v>
      </c>
      <c r="J88" s="47" t="s">
        <v>203</v>
      </c>
      <c r="N88" t="s">
        <v>256</v>
      </c>
      <c r="O88" t="s">
        <v>90</v>
      </c>
      <c r="P88" t="s">
        <v>90</v>
      </c>
      <c r="Q88" t="s">
        <v>90</v>
      </c>
      <c r="R88" t="s">
        <v>90</v>
      </c>
      <c r="S88" t="s">
        <v>90</v>
      </c>
      <c r="T88" t="s">
        <v>90</v>
      </c>
      <c r="U88" t="s">
        <v>90</v>
      </c>
      <c r="V88" t="s">
        <v>90</v>
      </c>
    </row>
    <row r="89" spans="1:22" ht="20">
      <c r="A89" s="46">
        <v>38047</v>
      </c>
      <c r="B89" s="45" t="s">
        <v>623</v>
      </c>
      <c r="C89" s="45" t="s">
        <v>438</v>
      </c>
      <c r="D89" s="47">
        <v>2</v>
      </c>
      <c r="E89" s="47" t="s">
        <v>434</v>
      </c>
      <c r="F89" s="47" t="s">
        <v>48</v>
      </c>
      <c r="G89" s="47">
        <v>1</v>
      </c>
      <c r="H89" s="90" t="s">
        <v>608</v>
      </c>
      <c r="I89" s="48">
        <v>1</v>
      </c>
      <c r="J89" s="47" t="s">
        <v>203</v>
      </c>
      <c r="N89" t="s">
        <v>256</v>
      </c>
      <c r="O89" t="s">
        <v>90</v>
      </c>
      <c r="P89" t="s">
        <v>90</v>
      </c>
      <c r="Q89" t="s">
        <v>90</v>
      </c>
      <c r="R89" t="s">
        <v>90</v>
      </c>
      <c r="S89" t="s">
        <v>90</v>
      </c>
      <c r="T89" t="s">
        <v>90</v>
      </c>
      <c r="U89" t="s">
        <v>90</v>
      </c>
      <c r="V89" t="s">
        <v>90</v>
      </c>
    </row>
    <row r="90" spans="1:22" ht="20">
      <c r="A90" s="46">
        <v>38048</v>
      </c>
      <c r="B90" s="45" t="s">
        <v>623</v>
      </c>
      <c r="C90" s="45" t="s">
        <v>439</v>
      </c>
      <c r="D90" s="47">
        <v>2</v>
      </c>
      <c r="E90" s="47" t="s">
        <v>434</v>
      </c>
      <c r="F90" s="47" t="s">
        <v>48</v>
      </c>
      <c r="G90" s="47">
        <v>1</v>
      </c>
      <c r="H90" s="90" t="s">
        <v>609</v>
      </c>
      <c r="I90" s="48">
        <v>1</v>
      </c>
      <c r="J90" s="47" t="s">
        <v>203</v>
      </c>
      <c r="N90" t="s">
        <v>256</v>
      </c>
      <c r="O90" t="s">
        <v>90</v>
      </c>
      <c r="P90" t="s">
        <v>90</v>
      </c>
      <c r="Q90" t="s">
        <v>90</v>
      </c>
      <c r="R90" t="s">
        <v>90</v>
      </c>
      <c r="S90" t="s">
        <v>90</v>
      </c>
      <c r="T90" t="s">
        <v>90</v>
      </c>
      <c r="U90" t="s">
        <v>90</v>
      </c>
      <c r="V90" t="s">
        <v>90</v>
      </c>
    </row>
    <row r="91" spans="1:22" ht="20">
      <c r="A91" s="46">
        <v>38049</v>
      </c>
      <c r="B91" s="45" t="s">
        <v>623</v>
      </c>
      <c r="C91" s="45" t="s">
        <v>440</v>
      </c>
      <c r="D91" s="47">
        <v>2</v>
      </c>
      <c r="E91" s="47" t="s">
        <v>434</v>
      </c>
      <c r="F91" s="47" t="s">
        <v>48</v>
      </c>
      <c r="G91" s="47">
        <v>1</v>
      </c>
      <c r="H91" s="90" t="s">
        <v>610</v>
      </c>
      <c r="I91" s="48">
        <v>1</v>
      </c>
      <c r="J91" s="47" t="s">
        <v>203</v>
      </c>
      <c r="N91" t="s">
        <v>256</v>
      </c>
      <c r="O91" t="s">
        <v>90</v>
      </c>
      <c r="P91" t="s">
        <v>90</v>
      </c>
      <c r="Q91" t="s">
        <v>90</v>
      </c>
      <c r="R91" t="s">
        <v>90</v>
      </c>
      <c r="S91" t="s">
        <v>90</v>
      </c>
      <c r="T91" t="s">
        <v>90</v>
      </c>
      <c r="U91" t="s">
        <v>90</v>
      </c>
      <c r="V91" t="s">
        <v>90</v>
      </c>
    </row>
    <row r="92" spans="1:22" ht="20">
      <c r="A92" s="46">
        <v>38050</v>
      </c>
      <c r="B92" s="45" t="s">
        <v>623</v>
      </c>
      <c r="C92" s="45" t="s">
        <v>441</v>
      </c>
      <c r="D92" s="47">
        <v>2</v>
      </c>
      <c r="E92" s="47" t="s">
        <v>434</v>
      </c>
      <c r="F92" s="47" t="s">
        <v>48</v>
      </c>
      <c r="G92" s="47">
        <v>1</v>
      </c>
      <c r="H92" s="90" t="s">
        <v>611</v>
      </c>
      <c r="I92" s="48">
        <v>1</v>
      </c>
      <c r="J92" s="47" t="s">
        <v>203</v>
      </c>
      <c r="N92" t="s">
        <v>256</v>
      </c>
      <c r="O92" t="s">
        <v>90</v>
      </c>
      <c r="P92" t="s">
        <v>90</v>
      </c>
      <c r="Q92" t="s">
        <v>90</v>
      </c>
      <c r="R92" t="s">
        <v>90</v>
      </c>
      <c r="S92" t="s">
        <v>90</v>
      </c>
      <c r="T92" t="s">
        <v>90</v>
      </c>
      <c r="U92" t="s">
        <v>90</v>
      </c>
      <c r="V92" t="s">
        <v>90</v>
      </c>
    </row>
    <row r="93" spans="1:22" ht="20">
      <c r="A93" s="46">
        <v>38051</v>
      </c>
      <c r="B93" s="45" t="s">
        <v>623</v>
      </c>
      <c r="C93" s="45" t="s">
        <v>442</v>
      </c>
      <c r="D93" s="47">
        <v>2</v>
      </c>
      <c r="E93" s="47" t="s">
        <v>434</v>
      </c>
      <c r="F93" s="47" t="s">
        <v>48</v>
      </c>
      <c r="G93" s="47">
        <v>1</v>
      </c>
      <c r="H93" s="90" t="s">
        <v>612</v>
      </c>
      <c r="I93" s="48">
        <v>1</v>
      </c>
      <c r="J93" s="47" t="s">
        <v>203</v>
      </c>
      <c r="N93" t="s">
        <v>256</v>
      </c>
      <c r="O93" t="s">
        <v>90</v>
      </c>
      <c r="P93" t="s">
        <v>90</v>
      </c>
      <c r="Q93" t="s">
        <v>90</v>
      </c>
      <c r="R93" t="s">
        <v>90</v>
      </c>
      <c r="S93" t="s">
        <v>90</v>
      </c>
      <c r="T93" t="s">
        <v>90</v>
      </c>
      <c r="U93" t="s">
        <v>90</v>
      </c>
      <c r="V93" t="s">
        <v>90</v>
      </c>
    </row>
    <row r="94" spans="1:22" ht="20">
      <c r="A94" s="46">
        <v>38052</v>
      </c>
      <c r="B94" s="45" t="s">
        <v>623</v>
      </c>
      <c r="C94" s="45" t="s">
        <v>443</v>
      </c>
      <c r="D94" s="47">
        <v>2</v>
      </c>
      <c r="E94" s="47" t="s">
        <v>434</v>
      </c>
      <c r="F94" s="47" t="s">
        <v>48</v>
      </c>
      <c r="G94" s="47">
        <v>1</v>
      </c>
      <c r="H94" s="90" t="s">
        <v>613</v>
      </c>
      <c r="I94" s="48">
        <v>1</v>
      </c>
      <c r="J94" s="47" t="s">
        <v>203</v>
      </c>
      <c r="N94" t="s">
        <v>256</v>
      </c>
      <c r="O94" t="s">
        <v>90</v>
      </c>
      <c r="P94" t="s">
        <v>90</v>
      </c>
      <c r="Q94" t="s">
        <v>90</v>
      </c>
      <c r="R94" t="s">
        <v>90</v>
      </c>
      <c r="S94" t="s">
        <v>90</v>
      </c>
      <c r="T94" t="s">
        <v>90</v>
      </c>
      <c r="U94" t="s">
        <v>90</v>
      </c>
      <c r="V94" t="s">
        <v>90</v>
      </c>
    </row>
    <row r="95" spans="1:22" ht="20">
      <c r="A95" s="46">
        <v>37085</v>
      </c>
      <c r="B95" s="45" t="s">
        <v>624</v>
      </c>
      <c r="C95" s="45" t="s">
        <v>444</v>
      </c>
      <c r="D95" s="47">
        <v>2</v>
      </c>
      <c r="E95" s="47" t="s">
        <v>434</v>
      </c>
      <c r="F95" s="47" t="s">
        <v>445</v>
      </c>
      <c r="G95" s="47">
        <v>2</v>
      </c>
      <c r="H95" s="90" t="s">
        <v>614</v>
      </c>
      <c r="I95" s="48">
        <v>1</v>
      </c>
      <c r="J95" s="47" t="s">
        <v>203</v>
      </c>
      <c r="N95" t="s">
        <v>256</v>
      </c>
      <c r="O95" t="s">
        <v>90</v>
      </c>
      <c r="P95" t="s">
        <v>90</v>
      </c>
      <c r="Q95" t="s">
        <v>90</v>
      </c>
      <c r="R95" t="s">
        <v>90</v>
      </c>
      <c r="S95" t="s">
        <v>90</v>
      </c>
      <c r="T95" t="s">
        <v>90</v>
      </c>
      <c r="U95" t="s">
        <v>90</v>
      </c>
      <c r="V95" t="s">
        <v>90</v>
      </c>
    </row>
    <row r="96" spans="1:22" ht="20">
      <c r="A96" s="46">
        <v>37086</v>
      </c>
      <c r="B96" s="45" t="s">
        <v>624</v>
      </c>
      <c r="C96" s="45" t="s">
        <v>446</v>
      </c>
      <c r="D96" s="47">
        <v>2</v>
      </c>
      <c r="E96" s="47" t="s">
        <v>434</v>
      </c>
      <c r="F96" s="47" t="s">
        <v>445</v>
      </c>
      <c r="G96" s="47">
        <v>2</v>
      </c>
      <c r="H96" s="90" t="s">
        <v>615</v>
      </c>
      <c r="I96" s="48">
        <v>1</v>
      </c>
      <c r="J96" s="47" t="s">
        <v>203</v>
      </c>
      <c r="N96" t="s">
        <v>256</v>
      </c>
      <c r="O96" t="s">
        <v>90</v>
      </c>
      <c r="P96" t="s">
        <v>90</v>
      </c>
      <c r="Q96" t="s">
        <v>90</v>
      </c>
      <c r="R96" t="s">
        <v>90</v>
      </c>
      <c r="S96" t="s">
        <v>90</v>
      </c>
      <c r="T96" t="s">
        <v>90</v>
      </c>
      <c r="U96" t="s">
        <v>90</v>
      </c>
      <c r="V96" t="s">
        <v>90</v>
      </c>
    </row>
    <row r="97" spans="1:22" ht="20">
      <c r="A97" s="54">
        <v>37087</v>
      </c>
      <c r="B97" s="45" t="s">
        <v>624</v>
      </c>
      <c r="C97" s="55" t="s">
        <v>447</v>
      </c>
      <c r="D97" s="56">
        <v>2</v>
      </c>
      <c r="E97" s="56" t="s">
        <v>434</v>
      </c>
      <c r="F97" s="56" t="s">
        <v>445</v>
      </c>
      <c r="G97" s="56">
        <v>2</v>
      </c>
      <c r="H97" s="90" t="s">
        <v>616</v>
      </c>
      <c r="I97" s="65">
        <v>1</v>
      </c>
      <c r="J97" s="56" t="s">
        <v>203</v>
      </c>
      <c r="N97" t="s">
        <v>256</v>
      </c>
      <c r="O97" t="s">
        <v>90</v>
      </c>
      <c r="P97" t="s">
        <v>90</v>
      </c>
      <c r="Q97" t="s">
        <v>90</v>
      </c>
      <c r="R97" t="s">
        <v>90</v>
      </c>
      <c r="S97" t="s">
        <v>90</v>
      </c>
      <c r="T97" t="s">
        <v>90</v>
      </c>
      <c r="U97" t="s">
        <v>90</v>
      </c>
      <c r="V97" t="s">
        <v>90</v>
      </c>
    </row>
    <row r="98" spans="1:22" ht="20">
      <c r="A98" s="46">
        <v>37088</v>
      </c>
      <c r="B98" s="45" t="s">
        <v>624</v>
      </c>
      <c r="C98" s="45" t="s">
        <v>448</v>
      </c>
      <c r="D98" s="47">
        <v>2</v>
      </c>
      <c r="E98" s="47" t="s">
        <v>434</v>
      </c>
      <c r="F98" s="47" t="s">
        <v>445</v>
      </c>
      <c r="G98" s="47">
        <v>2</v>
      </c>
      <c r="H98" s="90" t="s">
        <v>617</v>
      </c>
      <c r="I98" s="48">
        <v>1</v>
      </c>
      <c r="J98" s="47" t="s">
        <v>203</v>
      </c>
      <c r="N98" t="s">
        <v>256</v>
      </c>
      <c r="O98" t="s">
        <v>90</v>
      </c>
      <c r="P98" t="s">
        <v>90</v>
      </c>
      <c r="Q98" t="s">
        <v>90</v>
      </c>
      <c r="R98" t="s">
        <v>90</v>
      </c>
      <c r="S98" t="s">
        <v>90</v>
      </c>
      <c r="T98" t="s">
        <v>90</v>
      </c>
      <c r="U98" t="s">
        <v>90</v>
      </c>
      <c r="V98" t="s">
        <v>90</v>
      </c>
    </row>
    <row r="99" spans="1:22" ht="20">
      <c r="A99" s="46">
        <v>37089</v>
      </c>
      <c r="B99" s="45" t="s">
        <v>624</v>
      </c>
      <c r="C99" s="45" t="s">
        <v>449</v>
      </c>
      <c r="D99" s="47">
        <v>2</v>
      </c>
      <c r="E99" s="47" t="s">
        <v>434</v>
      </c>
      <c r="F99" s="47" t="s">
        <v>445</v>
      </c>
      <c r="G99" s="47">
        <v>2</v>
      </c>
      <c r="H99" s="90" t="s">
        <v>618</v>
      </c>
      <c r="I99" s="48">
        <v>1</v>
      </c>
      <c r="J99" s="47" t="s">
        <v>203</v>
      </c>
      <c r="N99" t="s">
        <v>256</v>
      </c>
      <c r="O99" t="s">
        <v>90</v>
      </c>
      <c r="P99" t="s">
        <v>90</v>
      </c>
      <c r="Q99" t="s">
        <v>90</v>
      </c>
      <c r="R99" t="s">
        <v>90</v>
      </c>
      <c r="S99" t="s">
        <v>90</v>
      </c>
      <c r="T99" t="s">
        <v>90</v>
      </c>
      <c r="U99" t="s">
        <v>90</v>
      </c>
      <c r="V99" t="s">
        <v>90</v>
      </c>
    </row>
    <row r="100" spans="1:22" ht="20">
      <c r="A100" s="54">
        <v>37090</v>
      </c>
      <c r="B100" s="45" t="s">
        <v>624</v>
      </c>
      <c r="C100" s="55" t="s">
        <v>450</v>
      </c>
      <c r="D100" s="56">
        <v>2</v>
      </c>
      <c r="E100" s="56" t="s">
        <v>434</v>
      </c>
      <c r="F100" s="56" t="s">
        <v>445</v>
      </c>
      <c r="G100" s="56">
        <v>2</v>
      </c>
      <c r="H100" s="90" t="s">
        <v>619</v>
      </c>
      <c r="I100" s="65">
        <v>1</v>
      </c>
      <c r="J100" s="56" t="s">
        <v>203</v>
      </c>
      <c r="N100" t="s">
        <v>256</v>
      </c>
      <c r="O100" t="s">
        <v>90</v>
      </c>
      <c r="P100" t="s">
        <v>90</v>
      </c>
      <c r="Q100" t="s">
        <v>90</v>
      </c>
      <c r="R100" t="s">
        <v>90</v>
      </c>
      <c r="S100" t="s">
        <v>90</v>
      </c>
      <c r="T100" t="s">
        <v>90</v>
      </c>
      <c r="U100" t="s">
        <v>90</v>
      </c>
      <c r="V100" t="s">
        <v>90</v>
      </c>
    </row>
    <row r="101" spans="1:22" ht="20">
      <c r="A101" s="46">
        <v>37091</v>
      </c>
      <c r="B101" s="45" t="s">
        <v>624</v>
      </c>
      <c r="C101" s="45" t="s">
        <v>451</v>
      </c>
      <c r="D101" s="47">
        <v>2</v>
      </c>
      <c r="E101" s="47" t="s">
        <v>434</v>
      </c>
      <c r="F101" s="47" t="s">
        <v>445</v>
      </c>
      <c r="G101" s="47">
        <v>2</v>
      </c>
      <c r="H101" s="90" t="s">
        <v>609</v>
      </c>
      <c r="I101" s="48">
        <v>1</v>
      </c>
      <c r="J101" s="47" t="s">
        <v>203</v>
      </c>
      <c r="N101" t="s">
        <v>256</v>
      </c>
      <c r="O101" t="s">
        <v>90</v>
      </c>
      <c r="P101" t="s">
        <v>90</v>
      </c>
      <c r="Q101" t="s">
        <v>90</v>
      </c>
      <c r="R101" t="s">
        <v>90</v>
      </c>
      <c r="S101" t="s">
        <v>90</v>
      </c>
      <c r="T101" t="s">
        <v>90</v>
      </c>
      <c r="U101" t="s">
        <v>90</v>
      </c>
      <c r="V101" t="s">
        <v>90</v>
      </c>
    </row>
    <row r="102" spans="1:22" ht="20">
      <c r="A102" s="46">
        <v>37092</v>
      </c>
      <c r="B102" s="45" t="s">
        <v>624</v>
      </c>
      <c r="C102" s="45" t="s">
        <v>452</v>
      </c>
      <c r="D102" s="47">
        <v>2</v>
      </c>
      <c r="E102" s="47" t="s">
        <v>434</v>
      </c>
      <c r="F102" s="47" t="s">
        <v>445</v>
      </c>
      <c r="G102" s="47">
        <v>2</v>
      </c>
      <c r="H102" s="90" t="s">
        <v>572</v>
      </c>
      <c r="I102" s="48">
        <v>1</v>
      </c>
      <c r="J102" s="47" t="s">
        <v>203</v>
      </c>
      <c r="N102" t="s">
        <v>256</v>
      </c>
      <c r="O102" t="s">
        <v>90</v>
      </c>
      <c r="P102" t="s">
        <v>90</v>
      </c>
      <c r="Q102" t="s">
        <v>90</v>
      </c>
      <c r="R102" t="s">
        <v>90</v>
      </c>
      <c r="S102" t="s">
        <v>90</v>
      </c>
      <c r="T102" t="s">
        <v>90</v>
      </c>
      <c r="U102" t="s">
        <v>90</v>
      </c>
      <c r="V102" t="s">
        <v>90</v>
      </c>
    </row>
    <row r="103" spans="1:22" ht="20">
      <c r="A103" s="46">
        <v>37093</v>
      </c>
      <c r="B103" s="45" t="s">
        <v>624</v>
      </c>
      <c r="C103" s="45" t="s">
        <v>453</v>
      </c>
      <c r="D103" s="47">
        <v>2</v>
      </c>
      <c r="E103" s="47" t="s">
        <v>434</v>
      </c>
      <c r="F103" s="47" t="s">
        <v>445</v>
      </c>
      <c r="G103" s="47">
        <v>2</v>
      </c>
      <c r="H103" s="90" t="s">
        <v>573</v>
      </c>
      <c r="I103" s="48">
        <v>1</v>
      </c>
      <c r="J103" s="47" t="s">
        <v>203</v>
      </c>
      <c r="N103" t="s">
        <v>256</v>
      </c>
      <c r="O103" t="s">
        <v>90</v>
      </c>
      <c r="P103" t="s">
        <v>90</v>
      </c>
      <c r="Q103" t="s">
        <v>90</v>
      </c>
      <c r="R103" t="s">
        <v>90</v>
      </c>
      <c r="S103" t="s">
        <v>90</v>
      </c>
      <c r="T103" t="s">
        <v>90</v>
      </c>
      <c r="U103" t="s">
        <v>90</v>
      </c>
      <c r="V103" t="s">
        <v>90</v>
      </c>
    </row>
    <row r="104" spans="1:22" ht="20">
      <c r="A104" s="46">
        <v>37094</v>
      </c>
      <c r="B104" s="45" t="s">
        <v>624</v>
      </c>
      <c r="C104" s="45" t="s">
        <v>454</v>
      </c>
      <c r="D104" s="47">
        <v>2</v>
      </c>
      <c r="E104" s="47" t="s">
        <v>434</v>
      </c>
      <c r="F104" s="47" t="s">
        <v>445</v>
      </c>
      <c r="G104" s="47">
        <v>2</v>
      </c>
      <c r="H104" s="90" t="s">
        <v>574</v>
      </c>
      <c r="I104" s="48">
        <v>1</v>
      </c>
      <c r="J104" s="47" t="s">
        <v>203</v>
      </c>
      <c r="N104" t="s">
        <v>256</v>
      </c>
      <c r="O104" t="s">
        <v>90</v>
      </c>
      <c r="P104" t="s">
        <v>90</v>
      </c>
      <c r="Q104" t="s">
        <v>90</v>
      </c>
      <c r="R104" t="s">
        <v>90</v>
      </c>
      <c r="S104" t="s">
        <v>90</v>
      </c>
      <c r="T104" t="s">
        <v>90</v>
      </c>
      <c r="U104" t="s">
        <v>90</v>
      </c>
      <c r="V104" t="s">
        <v>90</v>
      </c>
    </row>
    <row r="105" spans="1:22" ht="20">
      <c r="A105" s="46">
        <v>37095</v>
      </c>
      <c r="B105" s="45" t="s">
        <v>636</v>
      </c>
      <c r="C105" s="45" t="s">
        <v>637</v>
      </c>
      <c r="D105" s="47">
        <v>2</v>
      </c>
      <c r="E105" s="47"/>
      <c r="F105" s="47"/>
      <c r="G105" s="47"/>
      <c r="H105" s="90" t="s">
        <v>575</v>
      </c>
      <c r="I105" s="48" t="s">
        <v>455</v>
      </c>
      <c r="J105" s="47" t="s">
        <v>202</v>
      </c>
      <c r="N105" t="s">
        <v>256</v>
      </c>
      <c r="O105" t="s">
        <v>90</v>
      </c>
      <c r="P105" t="s">
        <v>90</v>
      </c>
      <c r="Q105" t="s">
        <v>90</v>
      </c>
      <c r="R105" t="s">
        <v>90</v>
      </c>
      <c r="S105" t="s">
        <v>90</v>
      </c>
      <c r="T105" t="s">
        <v>90</v>
      </c>
      <c r="U105" t="s">
        <v>90</v>
      </c>
      <c r="V105" t="s">
        <v>90</v>
      </c>
    </row>
    <row r="106" spans="1:22" ht="20">
      <c r="A106" s="46">
        <v>37096</v>
      </c>
      <c r="B106" s="45" t="s">
        <v>636</v>
      </c>
      <c r="C106" s="45" t="s">
        <v>638</v>
      </c>
      <c r="D106" s="47">
        <v>2</v>
      </c>
      <c r="E106" s="47" t="s">
        <v>456</v>
      </c>
      <c r="F106" s="47" t="s">
        <v>457</v>
      </c>
      <c r="G106" s="47">
        <v>1</v>
      </c>
      <c r="H106" s="90" t="s">
        <v>576</v>
      </c>
      <c r="I106" s="48" t="s">
        <v>455</v>
      </c>
      <c r="J106" s="47" t="s">
        <v>458</v>
      </c>
      <c r="N106" t="s">
        <v>256</v>
      </c>
      <c r="O106" t="s">
        <v>90</v>
      </c>
      <c r="P106" t="s">
        <v>90</v>
      </c>
      <c r="Q106" t="s">
        <v>90</v>
      </c>
      <c r="R106" t="s">
        <v>90</v>
      </c>
      <c r="S106" t="s">
        <v>90</v>
      </c>
      <c r="T106" t="s">
        <v>90</v>
      </c>
      <c r="U106" t="s">
        <v>90</v>
      </c>
      <c r="V106" t="s">
        <v>90</v>
      </c>
    </row>
    <row r="107" spans="1:22" ht="20">
      <c r="A107" s="46">
        <v>37097</v>
      </c>
      <c r="B107" s="45" t="s">
        <v>636</v>
      </c>
      <c r="C107" s="45" t="s">
        <v>639</v>
      </c>
      <c r="D107" s="47">
        <v>2</v>
      </c>
      <c r="E107" s="47" t="s">
        <v>459</v>
      </c>
      <c r="F107" s="47" t="s">
        <v>419</v>
      </c>
      <c r="G107" s="47">
        <v>1</v>
      </c>
      <c r="H107" s="90" t="s">
        <v>577</v>
      </c>
      <c r="I107" s="48" t="s">
        <v>455</v>
      </c>
      <c r="J107" s="47" t="s">
        <v>460</v>
      </c>
      <c r="N107" t="s">
        <v>256</v>
      </c>
      <c r="O107" t="s">
        <v>90</v>
      </c>
      <c r="P107" t="s">
        <v>90</v>
      </c>
      <c r="Q107" t="s">
        <v>90</v>
      </c>
      <c r="R107" t="s">
        <v>90</v>
      </c>
      <c r="S107" t="s">
        <v>90</v>
      </c>
      <c r="T107" t="s">
        <v>90</v>
      </c>
      <c r="U107" t="s">
        <v>90</v>
      </c>
      <c r="V107" t="s">
        <v>90</v>
      </c>
    </row>
    <row r="108" spans="1:22" ht="20">
      <c r="A108" s="46">
        <v>37098</v>
      </c>
      <c r="B108" s="45" t="s">
        <v>636</v>
      </c>
      <c r="C108" s="45" t="s">
        <v>646</v>
      </c>
      <c r="D108" s="47">
        <v>2</v>
      </c>
      <c r="E108" s="47" t="s">
        <v>47</v>
      </c>
      <c r="F108" s="47" t="s">
        <v>421</v>
      </c>
      <c r="G108" s="47">
        <v>1</v>
      </c>
      <c r="H108" s="90" t="s">
        <v>587</v>
      </c>
      <c r="I108" s="48" t="s">
        <v>455</v>
      </c>
      <c r="J108" s="47" t="s">
        <v>458</v>
      </c>
      <c r="N108" t="s">
        <v>256</v>
      </c>
      <c r="O108" t="s">
        <v>90</v>
      </c>
      <c r="P108" t="s">
        <v>90</v>
      </c>
      <c r="Q108" t="s">
        <v>90</v>
      </c>
      <c r="R108" t="s">
        <v>90</v>
      </c>
      <c r="S108" t="s">
        <v>90</v>
      </c>
      <c r="T108" t="s">
        <v>90</v>
      </c>
      <c r="U108" t="s">
        <v>90</v>
      </c>
      <c r="V108" t="s">
        <v>90</v>
      </c>
    </row>
    <row r="109" spans="1:22" ht="20">
      <c r="A109" s="46">
        <v>37102</v>
      </c>
      <c r="B109" s="45" t="s">
        <v>640</v>
      </c>
      <c r="C109" s="45" t="s">
        <v>641</v>
      </c>
      <c r="D109" s="47">
        <v>2</v>
      </c>
      <c r="E109" s="47" t="s">
        <v>462</v>
      </c>
      <c r="F109" s="47" t="s">
        <v>463</v>
      </c>
      <c r="G109" s="47">
        <v>1</v>
      </c>
      <c r="H109" s="90" t="s">
        <v>582</v>
      </c>
      <c r="I109" s="48" t="s">
        <v>455</v>
      </c>
      <c r="J109" s="47" t="s">
        <v>458</v>
      </c>
      <c r="N109" t="s">
        <v>256</v>
      </c>
      <c r="O109" t="s">
        <v>90</v>
      </c>
      <c r="P109" t="s">
        <v>90</v>
      </c>
      <c r="Q109" t="s">
        <v>90</v>
      </c>
      <c r="R109" t="s">
        <v>90</v>
      </c>
      <c r="S109" t="s">
        <v>90</v>
      </c>
      <c r="T109" t="s">
        <v>90</v>
      </c>
      <c r="U109" t="s">
        <v>90</v>
      </c>
      <c r="V109" t="s">
        <v>90</v>
      </c>
    </row>
    <row r="110" spans="1:22" ht="20">
      <c r="A110" s="46">
        <v>37103</v>
      </c>
      <c r="B110" s="45" t="s">
        <v>640</v>
      </c>
      <c r="C110" s="45" t="s">
        <v>642</v>
      </c>
      <c r="D110" s="47">
        <v>2</v>
      </c>
      <c r="E110" s="47" t="s">
        <v>47</v>
      </c>
      <c r="F110" s="47" t="s">
        <v>421</v>
      </c>
      <c r="G110" s="47">
        <v>1</v>
      </c>
      <c r="H110" s="90" t="s">
        <v>583</v>
      </c>
      <c r="I110" s="48" t="s">
        <v>455</v>
      </c>
      <c r="J110" s="47" t="s">
        <v>460</v>
      </c>
      <c r="N110" t="s">
        <v>256</v>
      </c>
      <c r="O110" t="s">
        <v>90</v>
      </c>
      <c r="P110" t="s">
        <v>90</v>
      </c>
      <c r="Q110" t="s">
        <v>90</v>
      </c>
      <c r="R110" t="s">
        <v>90</v>
      </c>
      <c r="S110" t="s">
        <v>90</v>
      </c>
      <c r="T110" t="s">
        <v>90</v>
      </c>
      <c r="U110" t="s">
        <v>90</v>
      </c>
      <c r="V110" t="s">
        <v>90</v>
      </c>
    </row>
    <row r="111" spans="1:22" ht="20">
      <c r="A111" s="46">
        <v>37104</v>
      </c>
      <c r="B111" s="45" t="s">
        <v>640</v>
      </c>
      <c r="C111" s="45" t="s">
        <v>643</v>
      </c>
      <c r="D111" s="47">
        <v>2</v>
      </c>
      <c r="E111" s="47" t="s">
        <v>459</v>
      </c>
      <c r="F111" s="47" t="s">
        <v>419</v>
      </c>
      <c r="G111" s="47">
        <v>1</v>
      </c>
      <c r="H111" s="90" t="s">
        <v>584</v>
      </c>
      <c r="I111" s="48" t="s">
        <v>455</v>
      </c>
      <c r="J111" s="47" t="s">
        <v>203</v>
      </c>
      <c r="N111" t="s">
        <v>256</v>
      </c>
      <c r="O111" t="s">
        <v>90</v>
      </c>
      <c r="P111" t="s">
        <v>90</v>
      </c>
      <c r="Q111" t="s">
        <v>90</v>
      </c>
      <c r="R111" t="s">
        <v>90</v>
      </c>
      <c r="S111" t="s">
        <v>90</v>
      </c>
      <c r="T111" t="s">
        <v>90</v>
      </c>
      <c r="U111" t="s">
        <v>90</v>
      </c>
      <c r="V111" t="s">
        <v>90</v>
      </c>
    </row>
    <row r="112" spans="1:22" ht="20">
      <c r="A112" s="46">
        <v>37105</v>
      </c>
      <c r="B112" s="45" t="s">
        <v>640</v>
      </c>
      <c r="C112" s="45" t="s">
        <v>644</v>
      </c>
      <c r="D112" s="47">
        <v>2</v>
      </c>
      <c r="E112" s="47" t="s">
        <v>459</v>
      </c>
      <c r="F112" s="47" t="s">
        <v>419</v>
      </c>
      <c r="G112" s="47">
        <v>1</v>
      </c>
      <c r="H112" s="90" t="s">
        <v>585</v>
      </c>
      <c r="I112" s="48" t="s">
        <v>455</v>
      </c>
      <c r="J112" s="47" t="s">
        <v>203</v>
      </c>
      <c r="N112" t="s">
        <v>256</v>
      </c>
      <c r="O112" t="s">
        <v>90</v>
      </c>
      <c r="P112" t="s">
        <v>90</v>
      </c>
      <c r="Q112" t="s">
        <v>90</v>
      </c>
      <c r="R112" t="s">
        <v>90</v>
      </c>
      <c r="S112" t="s">
        <v>90</v>
      </c>
      <c r="T112" t="s">
        <v>90</v>
      </c>
      <c r="U112" t="s">
        <v>90</v>
      </c>
      <c r="V112" t="s">
        <v>90</v>
      </c>
    </row>
    <row r="113" spans="1:22" ht="20">
      <c r="A113" s="54">
        <v>37106</v>
      </c>
      <c r="B113" s="55" t="s">
        <v>652</v>
      </c>
      <c r="C113" s="53" t="s">
        <v>645</v>
      </c>
      <c r="D113" s="56">
        <v>2</v>
      </c>
      <c r="E113" s="47" t="s">
        <v>459</v>
      </c>
      <c r="F113" s="47" t="s">
        <v>419</v>
      </c>
      <c r="G113" s="47">
        <v>1</v>
      </c>
      <c r="H113" s="90" t="s">
        <v>586</v>
      </c>
      <c r="I113" s="65" t="s">
        <v>455</v>
      </c>
      <c r="J113" s="70" t="s">
        <v>203</v>
      </c>
      <c r="N113" t="s">
        <v>256</v>
      </c>
      <c r="O113" t="s">
        <v>90</v>
      </c>
      <c r="P113" t="s">
        <v>90</v>
      </c>
      <c r="Q113" t="s">
        <v>90</v>
      </c>
      <c r="R113" t="s">
        <v>90</v>
      </c>
      <c r="S113" t="s">
        <v>90</v>
      </c>
      <c r="T113" t="s">
        <v>90</v>
      </c>
      <c r="U113" t="s">
        <v>90</v>
      </c>
      <c r="V113" t="s">
        <v>90</v>
      </c>
    </row>
    <row r="114" spans="1:22" ht="20">
      <c r="A114" s="54">
        <v>37107</v>
      </c>
      <c r="B114" s="55" t="s">
        <v>652</v>
      </c>
      <c r="C114" s="55" t="s">
        <v>637</v>
      </c>
      <c r="D114" s="56">
        <v>2</v>
      </c>
      <c r="E114" s="56" t="s">
        <v>47</v>
      </c>
      <c r="F114" s="56" t="s">
        <v>421</v>
      </c>
      <c r="G114" s="56">
        <v>1</v>
      </c>
      <c r="H114" s="90" t="s">
        <v>575</v>
      </c>
      <c r="I114" s="65" t="s">
        <v>455</v>
      </c>
      <c r="J114" s="70" t="s">
        <v>203</v>
      </c>
      <c r="N114" t="s">
        <v>256</v>
      </c>
      <c r="O114" t="s">
        <v>90</v>
      </c>
      <c r="P114" t="s">
        <v>90</v>
      </c>
      <c r="Q114" t="s">
        <v>90</v>
      </c>
      <c r="R114" t="s">
        <v>90</v>
      </c>
      <c r="S114" t="s">
        <v>90</v>
      </c>
      <c r="T114" t="s">
        <v>90</v>
      </c>
      <c r="U114" t="s">
        <v>90</v>
      </c>
      <c r="V114" t="s">
        <v>90</v>
      </c>
    </row>
    <row r="115" spans="1:22" ht="20">
      <c r="A115" s="54">
        <v>37108</v>
      </c>
      <c r="B115" s="55" t="s">
        <v>652</v>
      </c>
      <c r="C115" s="55" t="s">
        <v>647</v>
      </c>
      <c r="D115" s="56">
        <v>2</v>
      </c>
      <c r="E115" s="56" t="s">
        <v>47</v>
      </c>
      <c r="F115" s="47" t="s">
        <v>421</v>
      </c>
      <c r="G115" s="47">
        <v>1</v>
      </c>
      <c r="H115" s="90" t="s">
        <v>588</v>
      </c>
      <c r="I115" s="65" t="s">
        <v>455</v>
      </c>
      <c r="J115" s="70" t="s">
        <v>203</v>
      </c>
      <c r="N115" t="s">
        <v>256</v>
      </c>
      <c r="O115" t="s">
        <v>90</v>
      </c>
      <c r="P115" t="s">
        <v>90</v>
      </c>
      <c r="Q115" t="s">
        <v>90</v>
      </c>
      <c r="R115" t="s">
        <v>90</v>
      </c>
      <c r="S115" t="s">
        <v>90</v>
      </c>
      <c r="T115" t="s">
        <v>90</v>
      </c>
      <c r="U115" t="s">
        <v>90</v>
      </c>
      <c r="V115" t="s">
        <v>90</v>
      </c>
    </row>
    <row r="116" spans="1:22" ht="20">
      <c r="A116" s="54">
        <v>37110</v>
      </c>
      <c r="B116" s="55" t="s">
        <v>652</v>
      </c>
      <c r="C116" s="55" t="s">
        <v>648</v>
      </c>
      <c r="D116" s="56">
        <v>2</v>
      </c>
      <c r="E116" s="56" t="s">
        <v>464</v>
      </c>
      <c r="F116" s="56" t="s">
        <v>464</v>
      </c>
      <c r="G116" s="56" t="s">
        <v>464</v>
      </c>
      <c r="H116" s="90" t="s">
        <v>590</v>
      </c>
      <c r="I116" s="65" t="s">
        <v>455</v>
      </c>
      <c r="J116" s="70" t="s">
        <v>202</v>
      </c>
      <c r="N116" t="s">
        <v>256</v>
      </c>
      <c r="O116" t="s">
        <v>90</v>
      </c>
      <c r="P116" t="s">
        <v>90</v>
      </c>
      <c r="Q116" t="s">
        <v>90</v>
      </c>
      <c r="R116" t="s">
        <v>90</v>
      </c>
      <c r="S116" t="s">
        <v>90</v>
      </c>
      <c r="T116" t="s">
        <v>90</v>
      </c>
      <c r="U116" t="s">
        <v>90</v>
      </c>
      <c r="V116" t="s">
        <v>90</v>
      </c>
    </row>
    <row r="117" spans="1:22" ht="20">
      <c r="A117" s="46">
        <v>37111</v>
      </c>
      <c r="B117" s="55" t="s">
        <v>652</v>
      </c>
      <c r="C117" s="45" t="s">
        <v>649</v>
      </c>
      <c r="D117" s="47">
        <v>2</v>
      </c>
      <c r="E117" s="47" t="s">
        <v>459</v>
      </c>
      <c r="F117" s="47" t="s">
        <v>419</v>
      </c>
      <c r="G117" s="47">
        <v>1</v>
      </c>
      <c r="H117" s="90" t="s">
        <v>591</v>
      </c>
      <c r="I117" s="48" t="s">
        <v>465</v>
      </c>
      <c r="J117" s="71" t="s">
        <v>203</v>
      </c>
      <c r="N117" t="s">
        <v>256</v>
      </c>
      <c r="O117" t="s">
        <v>90</v>
      </c>
      <c r="P117" t="s">
        <v>90</v>
      </c>
      <c r="Q117" t="s">
        <v>90</v>
      </c>
      <c r="R117" t="s">
        <v>90</v>
      </c>
      <c r="S117" t="s">
        <v>90</v>
      </c>
      <c r="T117" t="s">
        <v>90</v>
      </c>
      <c r="U117" t="s">
        <v>90</v>
      </c>
      <c r="V117" t="s">
        <v>90</v>
      </c>
    </row>
    <row r="118" spans="1:22" ht="20">
      <c r="A118" s="46">
        <v>37112</v>
      </c>
      <c r="B118" s="45" t="s">
        <v>625</v>
      </c>
      <c r="C118" s="45"/>
      <c r="D118" s="47">
        <v>2</v>
      </c>
      <c r="E118" s="47" t="s">
        <v>461</v>
      </c>
      <c r="F118" s="47" t="s">
        <v>466</v>
      </c>
      <c r="G118" s="47">
        <v>1</v>
      </c>
      <c r="H118" s="90" t="s">
        <v>592</v>
      </c>
      <c r="I118" s="48" t="s">
        <v>465</v>
      </c>
      <c r="J118" s="71" t="s">
        <v>203</v>
      </c>
      <c r="N118" t="s">
        <v>256</v>
      </c>
      <c r="O118" t="s">
        <v>90</v>
      </c>
      <c r="P118" t="s">
        <v>90</v>
      </c>
      <c r="Q118" t="s">
        <v>90</v>
      </c>
      <c r="R118" t="s">
        <v>90</v>
      </c>
      <c r="S118" t="s">
        <v>90</v>
      </c>
      <c r="T118" t="s">
        <v>90</v>
      </c>
      <c r="U118" t="s">
        <v>90</v>
      </c>
      <c r="V118" t="s">
        <v>90</v>
      </c>
    </row>
    <row r="119" spans="1:22" ht="20">
      <c r="A119" s="46">
        <v>37113</v>
      </c>
      <c r="B119" s="45" t="s">
        <v>626</v>
      </c>
      <c r="C119" s="45"/>
      <c r="D119" s="47">
        <v>2</v>
      </c>
      <c r="E119" s="47" t="s">
        <v>467</v>
      </c>
      <c r="F119" s="47" t="s">
        <v>466</v>
      </c>
      <c r="G119" s="47">
        <v>1</v>
      </c>
      <c r="H119" s="90" t="s">
        <v>593</v>
      </c>
      <c r="I119" s="48" t="s">
        <v>465</v>
      </c>
      <c r="J119" s="71" t="s">
        <v>203</v>
      </c>
      <c r="N119" t="s">
        <v>256</v>
      </c>
      <c r="O119" t="s">
        <v>90</v>
      </c>
      <c r="P119" t="s">
        <v>90</v>
      </c>
      <c r="Q119" t="s">
        <v>90</v>
      </c>
      <c r="R119" t="s">
        <v>90</v>
      </c>
      <c r="S119" t="s">
        <v>90</v>
      </c>
      <c r="T119" t="s">
        <v>90</v>
      </c>
      <c r="U119" t="s">
        <v>90</v>
      </c>
      <c r="V119" t="s">
        <v>90</v>
      </c>
    </row>
    <row r="120" spans="1:22" ht="20">
      <c r="A120" s="46">
        <v>37114</v>
      </c>
      <c r="B120" s="45" t="s">
        <v>650</v>
      </c>
      <c r="C120" s="45"/>
      <c r="D120" s="47">
        <v>2</v>
      </c>
      <c r="E120" s="47" t="s">
        <v>461</v>
      </c>
      <c r="F120" s="47" t="s">
        <v>419</v>
      </c>
      <c r="G120" s="47">
        <v>1</v>
      </c>
      <c r="H120" s="90" t="s">
        <v>594</v>
      </c>
      <c r="I120" s="48" t="s">
        <v>465</v>
      </c>
      <c r="J120" s="71" t="s">
        <v>203</v>
      </c>
      <c r="N120" t="s">
        <v>256</v>
      </c>
      <c r="O120" t="s">
        <v>90</v>
      </c>
      <c r="P120" t="s">
        <v>90</v>
      </c>
      <c r="Q120" t="s">
        <v>90</v>
      </c>
      <c r="R120" t="s">
        <v>90</v>
      </c>
      <c r="S120" t="s">
        <v>90</v>
      </c>
      <c r="T120" t="s">
        <v>90</v>
      </c>
      <c r="U120" t="s">
        <v>90</v>
      </c>
      <c r="V120" t="s">
        <v>90</v>
      </c>
    </row>
    <row r="121" spans="1:22" ht="20">
      <c r="A121" s="46">
        <v>37115</v>
      </c>
      <c r="B121" s="45" t="s">
        <v>651</v>
      </c>
      <c r="C121" s="45"/>
      <c r="D121" s="47">
        <v>2</v>
      </c>
      <c r="E121" s="47" t="s">
        <v>467</v>
      </c>
      <c r="F121" s="47" t="s">
        <v>468</v>
      </c>
      <c r="G121" s="47">
        <v>1</v>
      </c>
      <c r="H121" s="90" t="s">
        <v>595</v>
      </c>
      <c r="I121" s="48" t="s">
        <v>465</v>
      </c>
      <c r="J121" s="71" t="s">
        <v>203</v>
      </c>
      <c r="N121" t="s">
        <v>256</v>
      </c>
      <c r="O121" t="s">
        <v>90</v>
      </c>
      <c r="P121" t="s">
        <v>90</v>
      </c>
      <c r="Q121" t="s">
        <v>90</v>
      </c>
      <c r="R121" t="s">
        <v>90</v>
      </c>
      <c r="S121" t="s">
        <v>90</v>
      </c>
      <c r="T121" t="s">
        <v>90</v>
      </c>
      <c r="U121" t="s">
        <v>90</v>
      </c>
      <c r="V121" t="s">
        <v>90</v>
      </c>
    </row>
    <row r="122" spans="1:22" ht="20">
      <c r="A122" s="57">
        <v>37116</v>
      </c>
      <c r="B122" s="45" t="s">
        <v>627</v>
      </c>
      <c r="C122" s="45" t="s">
        <v>90</v>
      </c>
      <c r="D122" s="47">
        <v>2</v>
      </c>
      <c r="E122" s="47"/>
      <c r="F122" s="47"/>
      <c r="G122" s="47"/>
      <c r="H122" s="90" t="s">
        <v>596</v>
      </c>
      <c r="I122" s="48" t="s">
        <v>465</v>
      </c>
      <c r="J122" s="71" t="s">
        <v>460</v>
      </c>
      <c r="N122" t="s">
        <v>256</v>
      </c>
      <c r="O122" t="s">
        <v>90</v>
      </c>
      <c r="P122" t="s">
        <v>90</v>
      </c>
      <c r="Q122" t="s">
        <v>90</v>
      </c>
      <c r="R122" t="s">
        <v>90</v>
      </c>
      <c r="S122" t="s">
        <v>90</v>
      </c>
      <c r="T122" t="s">
        <v>90</v>
      </c>
      <c r="U122" t="s">
        <v>90</v>
      </c>
      <c r="V122" t="s">
        <v>90</v>
      </c>
    </row>
    <row r="123" spans="1:22" ht="20">
      <c r="A123" s="57">
        <v>37117</v>
      </c>
      <c r="B123" s="45" t="s">
        <v>628</v>
      </c>
      <c r="C123" s="45" t="s">
        <v>90</v>
      </c>
      <c r="D123" s="47">
        <v>2</v>
      </c>
      <c r="E123" s="47" t="s">
        <v>469</v>
      </c>
      <c r="F123" s="47" t="s">
        <v>470</v>
      </c>
      <c r="G123" s="47">
        <v>1</v>
      </c>
      <c r="H123" s="90" t="s">
        <v>597</v>
      </c>
      <c r="I123" s="48" t="s">
        <v>465</v>
      </c>
      <c r="J123" s="71" t="s">
        <v>458</v>
      </c>
      <c r="N123" t="s">
        <v>256</v>
      </c>
      <c r="O123" t="s">
        <v>90</v>
      </c>
      <c r="P123" t="s">
        <v>90</v>
      </c>
      <c r="Q123" t="s">
        <v>90</v>
      </c>
      <c r="R123" t="s">
        <v>90</v>
      </c>
      <c r="S123" t="s">
        <v>90</v>
      </c>
      <c r="T123" t="s">
        <v>90</v>
      </c>
      <c r="U123" t="s">
        <v>90</v>
      </c>
      <c r="V123" t="s">
        <v>90</v>
      </c>
    </row>
    <row r="124" spans="1:22" ht="20">
      <c r="A124" s="57">
        <v>37118</v>
      </c>
      <c r="B124" s="45" t="s">
        <v>629</v>
      </c>
      <c r="C124" s="45" t="s">
        <v>90</v>
      </c>
      <c r="D124" s="47">
        <v>2</v>
      </c>
      <c r="E124" s="47" t="s">
        <v>469</v>
      </c>
      <c r="F124" s="47" t="s">
        <v>471</v>
      </c>
      <c r="G124" s="47"/>
      <c r="H124" s="90" t="s">
        <v>598</v>
      </c>
      <c r="I124" s="48" t="s">
        <v>465</v>
      </c>
      <c r="J124" s="71" t="s">
        <v>458</v>
      </c>
      <c r="N124" t="s">
        <v>256</v>
      </c>
      <c r="O124" t="s">
        <v>90</v>
      </c>
      <c r="P124" t="s">
        <v>90</v>
      </c>
      <c r="Q124" t="s">
        <v>90</v>
      </c>
      <c r="R124" t="s">
        <v>90</v>
      </c>
      <c r="S124" t="s">
        <v>90</v>
      </c>
      <c r="T124" t="s">
        <v>90</v>
      </c>
      <c r="U124" t="s">
        <v>90</v>
      </c>
      <c r="V124" t="s">
        <v>90</v>
      </c>
    </row>
    <row r="125" spans="1:22" ht="20">
      <c r="A125" s="57">
        <v>37119</v>
      </c>
      <c r="B125" s="45" t="s">
        <v>630</v>
      </c>
      <c r="C125" s="45" t="s">
        <v>90</v>
      </c>
      <c r="D125" s="47">
        <v>2</v>
      </c>
      <c r="E125" s="47"/>
      <c r="F125" s="47"/>
      <c r="G125" s="47"/>
      <c r="H125" s="90" t="s">
        <v>599</v>
      </c>
      <c r="I125" s="48" t="s">
        <v>465</v>
      </c>
      <c r="J125" s="71" t="s">
        <v>460</v>
      </c>
      <c r="N125" t="s">
        <v>256</v>
      </c>
      <c r="O125" t="s">
        <v>90</v>
      </c>
      <c r="P125" t="s">
        <v>90</v>
      </c>
      <c r="Q125" t="s">
        <v>90</v>
      </c>
      <c r="R125" t="s">
        <v>90</v>
      </c>
      <c r="S125" t="s">
        <v>90</v>
      </c>
      <c r="T125" t="s">
        <v>90</v>
      </c>
      <c r="U125" t="s">
        <v>90</v>
      </c>
      <c r="V125" t="s">
        <v>90</v>
      </c>
    </row>
    <row r="126" spans="1:22" ht="20">
      <c r="A126" s="57">
        <v>37120</v>
      </c>
      <c r="B126" s="45" t="s">
        <v>675</v>
      </c>
      <c r="C126" s="45"/>
      <c r="D126" s="47">
        <v>2</v>
      </c>
      <c r="E126" s="47" t="s">
        <v>462</v>
      </c>
      <c r="F126" s="47" t="s">
        <v>472</v>
      </c>
      <c r="G126" s="47">
        <v>1</v>
      </c>
      <c r="H126" s="90" t="s">
        <v>600</v>
      </c>
      <c r="I126" s="48" t="s">
        <v>465</v>
      </c>
      <c r="J126" s="71" t="s">
        <v>458</v>
      </c>
      <c r="N126" t="s">
        <v>256</v>
      </c>
      <c r="O126" t="s">
        <v>90</v>
      </c>
      <c r="P126" t="s">
        <v>90</v>
      </c>
      <c r="Q126" t="s">
        <v>90</v>
      </c>
      <c r="R126" t="s">
        <v>90</v>
      </c>
      <c r="S126" t="s">
        <v>90</v>
      </c>
      <c r="T126" t="s">
        <v>90</v>
      </c>
      <c r="U126" t="s">
        <v>90</v>
      </c>
      <c r="V126" t="s">
        <v>90</v>
      </c>
    </row>
    <row r="127" spans="1:22" ht="20">
      <c r="A127" s="57">
        <v>37121</v>
      </c>
      <c r="B127" s="45" t="s">
        <v>631</v>
      </c>
      <c r="C127" s="45"/>
      <c r="D127" s="47">
        <v>2</v>
      </c>
      <c r="E127" s="47" t="s">
        <v>434</v>
      </c>
      <c r="F127" s="47" t="s">
        <v>466</v>
      </c>
      <c r="G127" s="47">
        <v>1</v>
      </c>
      <c r="H127" s="90" t="s">
        <v>601</v>
      </c>
      <c r="I127" s="48" t="s">
        <v>465</v>
      </c>
      <c r="J127" s="71" t="s">
        <v>458</v>
      </c>
      <c r="N127" t="s">
        <v>256</v>
      </c>
      <c r="O127" t="s">
        <v>90</v>
      </c>
      <c r="P127" t="s">
        <v>90</v>
      </c>
      <c r="Q127" t="s">
        <v>90</v>
      </c>
      <c r="R127" t="s">
        <v>90</v>
      </c>
      <c r="S127" t="s">
        <v>90</v>
      </c>
      <c r="T127" t="s">
        <v>90</v>
      </c>
      <c r="U127" t="s">
        <v>90</v>
      </c>
      <c r="V127" t="s">
        <v>90</v>
      </c>
    </row>
    <row r="128" spans="1:22" ht="20">
      <c r="A128" s="57">
        <v>37123</v>
      </c>
      <c r="B128" s="45" t="s">
        <v>658</v>
      </c>
      <c r="C128" s="45"/>
      <c r="D128" s="47">
        <v>2</v>
      </c>
      <c r="E128" s="47" t="s">
        <v>469</v>
      </c>
      <c r="F128" s="47" t="s">
        <v>466</v>
      </c>
      <c r="G128" s="47">
        <v>1</v>
      </c>
      <c r="H128" s="90" t="s">
        <v>620</v>
      </c>
      <c r="I128" s="48" t="s">
        <v>465</v>
      </c>
      <c r="J128" s="47" t="s">
        <v>460</v>
      </c>
      <c r="N128" t="s">
        <v>256</v>
      </c>
      <c r="O128" t="s">
        <v>90</v>
      </c>
      <c r="P128" t="s">
        <v>90</v>
      </c>
      <c r="Q128" t="s">
        <v>90</v>
      </c>
      <c r="R128" t="s">
        <v>90</v>
      </c>
      <c r="S128" t="s">
        <v>90</v>
      </c>
      <c r="T128" t="s">
        <v>90</v>
      </c>
      <c r="U128" t="s">
        <v>90</v>
      </c>
      <c r="V128" t="s">
        <v>90</v>
      </c>
    </row>
    <row r="129" spans="1:22" ht="20">
      <c r="A129" s="57">
        <v>37124</v>
      </c>
      <c r="B129" s="45" t="s">
        <v>657</v>
      </c>
      <c r="C129" s="45"/>
      <c r="D129" s="47">
        <v>2</v>
      </c>
      <c r="E129" s="47"/>
      <c r="F129" s="47"/>
      <c r="G129" s="47"/>
      <c r="H129" s="90" t="s">
        <v>603</v>
      </c>
      <c r="I129" s="48" t="s">
        <v>465</v>
      </c>
      <c r="J129" s="71" t="s">
        <v>460</v>
      </c>
      <c r="N129" t="s">
        <v>256</v>
      </c>
      <c r="O129" t="s">
        <v>90</v>
      </c>
      <c r="P129" t="s">
        <v>90</v>
      </c>
      <c r="Q129" t="s">
        <v>90</v>
      </c>
      <c r="R129" t="s">
        <v>90</v>
      </c>
      <c r="S129" t="s">
        <v>90</v>
      </c>
      <c r="T129" t="s">
        <v>90</v>
      </c>
      <c r="U129" t="s">
        <v>90</v>
      </c>
      <c r="V129" t="s">
        <v>90</v>
      </c>
    </row>
    <row r="130" spans="1:22" ht="20">
      <c r="A130" s="57">
        <v>37125</v>
      </c>
      <c r="B130" s="45" t="s">
        <v>657</v>
      </c>
      <c r="C130" s="45"/>
      <c r="D130" s="47">
        <v>2</v>
      </c>
      <c r="E130" s="47" t="s">
        <v>461</v>
      </c>
      <c r="F130" s="47" t="s">
        <v>466</v>
      </c>
      <c r="G130" s="47">
        <v>1</v>
      </c>
      <c r="H130" s="90" t="s">
        <v>604</v>
      </c>
      <c r="I130" s="48" t="s">
        <v>465</v>
      </c>
      <c r="J130" s="71" t="s">
        <v>458</v>
      </c>
      <c r="N130" t="s">
        <v>256</v>
      </c>
      <c r="O130" t="s">
        <v>90</v>
      </c>
      <c r="P130" t="s">
        <v>90</v>
      </c>
      <c r="Q130" t="s">
        <v>90</v>
      </c>
      <c r="R130" t="s">
        <v>90</v>
      </c>
      <c r="S130" t="s">
        <v>90</v>
      </c>
      <c r="T130" t="s">
        <v>90</v>
      </c>
      <c r="U130" t="s">
        <v>90</v>
      </c>
      <c r="V130" t="s">
        <v>90</v>
      </c>
    </row>
    <row r="131" spans="1:22" ht="20">
      <c r="A131" s="57">
        <v>37126</v>
      </c>
      <c r="B131" s="45" t="s">
        <v>656</v>
      </c>
      <c r="C131" s="45"/>
      <c r="D131" s="47">
        <v>2</v>
      </c>
      <c r="E131" s="47"/>
      <c r="F131" s="47"/>
      <c r="G131" s="47"/>
      <c r="H131" s="90" t="s">
        <v>605</v>
      </c>
      <c r="I131" s="48" t="s">
        <v>465</v>
      </c>
      <c r="J131" s="71" t="s">
        <v>460</v>
      </c>
      <c r="N131" t="s">
        <v>256</v>
      </c>
      <c r="O131" t="s">
        <v>90</v>
      </c>
      <c r="P131" t="s">
        <v>90</v>
      </c>
      <c r="Q131" t="s">
        <v>90</v>
      </c>
      <c r="R131" t="s">
        <v>90</v>
      </c>
      <c r="S131" t="s">
        <v>90</v>
      </c>
      <c r="T131" t="s">
        <v>90</v>
      </c>
      <c r="U131" t="s">
        <v>90</v>
      </c>
      <c r="V131" t="s">
        <v>90</v>
      </c>
    </row>
    <row r="132" spans="1:22" ht="20">
      <c r="A132" s="57">
        <v>37133</v>
      </c>
      <c r="B132" s="45" t="s">
        <v>632</v>
      </c>
      <c r="C132" s="45" t="s">
        <v>90</v>
      </c>
      <c r="D132" s="47">
        <v>2</v>
      </c>
      <c r="E132" s="47" t="s">
        <v>413</v>
      </c>
      <c r="F132" s="47" t="s">
        <v>466</v>
      </c>
      <c r="G132" s="47">
        <v>1</v>
      </c>
      <c r="H132" s="90" t="s">
        <v>612</v>
      </c>
      <c r="I132" s="48" t="s">
        <v>465</v>
      </c>
      <c r="J132" s="47" t="s">
        <v>203</v>
      </c>
      <c r="N132" t="s">
        <v>256</v>
      </c>
      <c r="O132" t="s">
        <v>90</v>
      </c>
      <c r="P132" t="s">
        <v>90</v>
      </c>
      <c r="Q132" t="s">
        <v>90</v>
      </c>
      <c r="R132" t="s">
        <v>90</v>
      </c>
      <c r="S132" t="s">
        <v>90</v>
      </c>
      <c r="T132" t="s">
        <v>90</v>
      </c>
      <c r="U132" t="s">
        <v>90</v>
      </c>
      <c r="V132" t="s">
        <v>90</v>
      </c>
    </row>
    <row r="133" spans="1:22" ht="20">
      <c r="A133" s="57">
        <v>37134</v>
      </c>
      <c r="B133" s="45" t="s">
        <v>633</v>
      </c>
      <c r="C133" s="45" t="s">
        <v>90</v>
      </c>
      <c r="D133" s="47">
        <v>2</v>
      </c>
      <c r="E133" s="47" t="s">
        <v>416</v>
      </c>
      <c r="F133" s="47" t="s">
        <v>466</v>
      </c>
      <c r="G133" s="47">
        <v>1</v>
      </c>
      <c r="H133" s="90" t="s">
        <v>613</v>
      </c>
      <c r="I133" s="48" t="s">
        <v>465</v>
      </c>
      <c r="J133" s="47" t="s">
        <v>203</v>
      </c>
      <c r="N133" t="s">
        <v>256</v>
      </c>
      <c r="O133" t="s">
        <v>90</v>
      </c>
      <c r="P133" t="s">
        <v>90</v>
      </c>
      <c r="Q133" t="s">
        <v>90</v>
      </c>
      <c r="R133" t="s">
        <v>90</v>
      </c>
      <c r="S133" t="s">
        <v>90</v>
      </c>
      <c r="T133" t="s">
        <v>90</v>
      </c>
      <c r="U133" t="s">
        <v>90</v>
      </c>
      <c r="V133" t="s">
        <v>90</v>
      </c>
    </row>
    <row r="134" spans="1:22" ht="20">
      <c r="A134" s="57">
        <v>37135</v>
      </c>
      <c r="B134" s="45" t="s">
        <v>634</v>
      </c>
      <c r="C134" s="45" t="s">
        <v>90</v>
      </c>
      <c r="D134" s="47">
        <v>2</v>
      </c>
      <c r="E134" s="47" t="s">
        <v>413</v>
      </c>
      <c r="F134" s="47" t="s">
        <v>466</v>
      </c>
      <c r="G134" s="47">
        <v>1</v>
      </c>
      <c r="H134" s="90" t="s">
        <v>614</v>
      </c>
      <c r="I134" s="48" t="s">
        <v>465</v>
      </c>
      <c r="J134" s="47" t="s">
        <v>203</v>
      </c>
      <c r="N134" t="s">
        <v>256</v>
      </c>
      <c r="O134" t="s">
        <v>90</v>
      </c>
      <c r="P134" t="s">
        <v>90</v>
      </c>
      <c r="Q134" t="s">
        <v>90</v>
      </c>
      <c r="R134" t="s">
        <v>90</v>
      </c>
      <c r="S134" t="s">
        <v>90</v>
      </c>
      <c r="T134" t="s">
        <v>90</v>
      </c>
      <c r="U134" t="s">
        <v>90</v>
      </c>
      <c r="V134" t="s">
        <v>90</v>
      </c>
    </row>
    <row r="135" spans="1:22" ht="20">
      <c r="A135" s="57">
        <v>37136</v>
      </c>
      <c r="B135" s="45" t="s">
        <v>635</v>
      </c>
      <c r="C135" s="45" t="s">
        <v>90</v>
      </c>
      <c r="D135" s="47">
        <v>2</v>
      </c>
      <c r="E135" s="47" t="s">
        <v>416</v>
      </c>
      <c r="F135" s="47" t="s">
        <v>466</v>
      </c>
      <c r="G135" s="47">
        <v>1</v>
      </c>
      <c r="H135" s="90" t="s">
        <v>615</v>
      </c>
      <c r="I135" s="48" t="s">
        <v>465</v>
      </c>
      <c r="J135" s="47" t="s">
        <v>203</v>
      </c>
      <c r="N135" t="s">
        <v>256</v>
      </c>
      <c r="O135" t="s">
        <v>90</v>
      </c>
      <c r="P135" t="s">
        <v>90</v>
      </c>
      <c r="Q135" t="s">
        <v>90</v>
      </c>
      <c r="R135" t="s">
        <v>90</v>
      </c>
      <c r="S135" t="s">
        <v>90</v>
      </c>
      <c r="T135" t="s">
        <v>90</v>
      </c>
      <c r="U135" t="s">
        <v>90</v>
      </c>
      <c r="V135" t="s">
        <v>90</v>
      </c>
    </row>
    <row r="136" spans="1:22" ht="20">
      <c r="A136" s="52">
        <v>37137</v>
      </c>
      <c r="B136" s="55" t="s">
        <v>659</v>
      </c>
      <c r="C136" s="55"/>
      <c r="D136" s="56">
        <v>2</v>
      </c>
      <c r="E136" s="56" t="s">
        <v>434</v>
      </c>
      <c r="F136" s="56" t="s">
        <v>471</v>
      </c>
      <c r="G136" s="56"/>
      <c r="H136" s="90" t="s">
        <v>616</v>
      </c>
      <c r="I136" s="65" t="s">
        <v>465</v>
      </c>
      <c r="J136" s="56" t="s">
        <v>473</v>
      </c>
      <c r="N136" t="s">
        <v>256</v>
      </c>
      <c r="O136" t="s">
        <v>90</v>
      </c>
      <c r="P136" t="s">
        <v>90</v>
      </c>
      <c r="Q136" t="s">
        <v>90</v>
      </c>
      <c r="R136" t="s">
        <v>90</v>
      </c>
      <c r="S136" t="s">
        <v>90</v>
      </c>
      <c r="T136" t="s">
        <v>90</v>
      </c>
      <c r="U136" t="s">
        <v>90</v>
      </c>
      <c r="V136" t="s">
        <v>90</v>
      </c>
    </row>
    <row r="137" spans="1:22" ht="20">
      <c r="A137" s="46">
        <v>61011</v>
      </c>
      <c r="B137" s="45" t="s">
        <v>660</v>
      </c>
      <c r="C137" s="45"/>
      <c r="D137" s="47">
        <v>2</v>
      </c>
      <c r="E137" s="47" t="s">
        <v>413</v>
      </c>
      <c r="F137" s="47" t="s">
        <v>468</v>
      </c>
      <c r="G137" s="47">
        <v>1</v>
      </c>
      <c r="H137" s="90" t="s">
        <v>617</v>
      </c>
      <c r="I137" s="48" t="s">
        <v>465</v>
      </c>
      <c r="J137" s="47" t="s">
        <v>203</v>
      </c>
      <c r="N137" t="s">
        <v>256</v>
      </c>
      <c r="O137" t="s">
        <v>90</v>
      </c>
      <c r="P137" t="s">
        <v>90</v>
      </c>
      <c r="Q137" t="s">
        <v>90</v>
      </c>
      <c r="R137" t="s">
        <v>90</v>
      </c>
      <c r="S137" t="s">
        <v>90</v>
      </c>
      <c r="T137" t="s">
        <v>90</v>
      </c>
      <c r="U137" t="s">
        <v>90</v>
      </c>
      <c r="V137" t="s">
        <v>90</v>
      </c>
    </row>
    <row r="138" spans="1:22" ht="20">
      <c r="A138" s="54">
        <v>61015</v>
      </c>
      <c r="B138" s="55" t="s">
        <v>661</v>
      </c>
      <c r="C138" s="55"/>
      <c r="D138" s="56">
        <v>2</v>
      </c>
      <c r="E138" s="56" t="s">
        <v>424</v>
      </c>
      <c r="F138" s="56" t="s">
        <v>474</v>
      </c>
      <c r="G138" s="56"/>
      <c r="H138" s="90" t="s">
        <v>619</v>
      </c>
      <c r="I138" s="65" t="s">
        <v>465</v>
      </c>
      <c r="J138" s="56" t="s">
        <v>203</v>
      </c>
      <c r="N138" t="s">
        <v>256</v>
      </c>
      <c r="O138" t="s">
        <v>90</v>
      </c>
      <c r="P138" t="s">
        <v>90</v>
      </c>
      <c r="Q138" t="s">
        <v>90</v>
      </c>
      <c r="R138" t="s">
        <v>90</v>
      </c>
      <c r="S138" t="s">
        <v>90</v>
      </c>
      <c r="T138" t="s">
        <v>90</v>
      </c>
      <c r="U138" t="s">
        <v>90</v>
      </c>
      <c r="V138" t="s">
        <v>90</v>
      </c>
    </row>
    <row r="139" spans="1:22" ht="20">
      <c r="A139" s="46">
        <v>61021</v>
      </c>
      <c r="B139" s="45" t="s">
        <v>662</v>
      </c>
      <c r="C139" s="45"/>
      <c r="D139" s="47">
        <v>2</v>
      </c>
      <c r="E139" s="47" t="s">
        <v>462</v>
      </c>
      <c r="F139" s="73" t="s">
        <v>472</v>
      </c>
      <c r="G139" s="56">
        <v>1</v>
      </c>
      <c r="H139" s="90" t="s">
        <v>609</v>
      </c>
      <c r="I139" s="48" t="s">
        <v>465</v>
      </c>
      <c r="J139" s="47" t="s">
        <v>203</v>
      </c>
      <c r="N139" t="s">
        <v>256</v>
      </c>
      <c r="O139" t="s">
        <v>90</v>
      </c>
      <c r="P139" t="s">
        <v>90</v>
      </c>
      <c r="Q139" t="s">
        <v>90</v>
      </c>
      <c r="R139" t="s">
        <v>90</v>
      </c>
      <c r="S139" t="s">
        <v>90</v>
      </c>
      <c r="T139" t="s">
        <v>90</v>
      </c>
      <c r="U139" t="s">
        <v>90</v>
      </c>
      <c r="V139" t="s">
        <v>90</v>
      </c>
    </row>
    <row r="140" spans="1:22" ht="20">
      <c r="A140" s="46">
        <v>61030</v>
      </c>
      <c r="B140" s="45" t="s">
        <v>663</v>
      </c>
      <c r="C140" s="45"/>
      <c r="D140" s="47">
        <v>2</v>
      </c>
      <c r="E140" s="47" t="s">
        <v>475</v>
      </c>
      <c r="F140" s="59" t="s">
        <v>476</v>
      </c>
      <c r="G140" s="47">
        <v>5</v>
      </c>
      <c r="H140" s="90" t="s">
        <v>572</v>
      </c>
      <c r="I140" s="48" t="s">
        <v>465</v>
      </c>
      <c r="J140" s="47" t="s">
        <v>203</v>
      </c>
      <c r="N140" t="s">
        <v>90</v>
      </c>
      <c r="O140" t="s">
        <v>90</v>
      </c>
      <c r="P140" t="s">
        <v>90</v>
      </c>
      <c r="Q140" t="s">
        <v>90</v>
      </c>
      <c r="R140" t="s">
        <v>90</v>
      </c>
      <c r="S140" t="s">
        <v>90</v>
      </c>
      <c r="T140" t="s">
        <v>90</v>
      </c>
      <c r="U140" t="s">
        <v>90</v>
      </c>
      <c r="V140" t="s">
        <v>90</v>
      </c>
    </row>
    <row r="141" spans="1:22" ht="20">
      <c r="A141" s="46">
        <v>61022</v>
      </c>
      <c r="B141" s="45" t="s">
        <v>664</v>
      </c>
      <c r="C141" s="45"/>
      <c r="D141" s="47">
        <v>2</v>
      </c>
      <c r="E141" s="47" t="s">
        <v>467</v>
      </c>
      <c r="F141" s="47" t="s">
        <v>468</v>
      </c>
      <c r="G141" s="47">
        <v>2</v>
      </c>
      <c r="H141" s="90" t="s">
        <v>573</v>
      </c>
      <c r="I141" s="48" t="s">
        <v>465</v>
      </c>
      <c r="J141" s="47" t="s">
        <v>203</v>
      </c>
      <c r="N141" t="s">
        <v>256</v>
      </c>
      <c r="O141" t="s">
        <v>90</v>
      </c>
      <c r="P141" t="s">
        <v>90</v>
      </c>
      <c r="Q141" t="s">
        <v>90</v>
      </c>
      <c r="R141" t="s">
        <v>90</v>
      </c>
      <c r="S141" t="s">
        <v>90</v>
      </c>
      <c r="T141" t="s">
        <v>90</v>
      </c>
      <c r="U141" t="s">
        <v>90</v>
      </c>
      <c r="V141" t="s">
        <v>90</v>
      </c>
    </row>
    <row r="142" spans="1:22" ht="20">
      <c r="A142" s="46">
        <v>61023</v>
      </c>
      <c r="B142" s="45" t="s">
        <v>676</v>
      </c>
      <c r="C142" s="45"/>
      <c r="D142" s="47">
        <v>2</v>
      </c>
      <c r="E142" s="47" t="s">
        <v>461</v>
      </c>
      <c r="F142" s="47" t="s">
        <v>468</v>
      </c>
      <c r="G142" s="47">
        <v>2</v>
      </c>
      <c r="H142" s="90" t="s">
        <v>574</v>
      </c>
      <c r="I142" s="48" t="s">
        <v>465</v>
      </c>
      <c r="J142" s="47" t="s">
        <v>203</v>
      </c>
      <c r="N142" t="s">
        <v>256</v>
      </c>
      <c r="O142" t="s">
        <v>90</v>
      </c>
      <c r="P142" t="s">
        <v>90</v>
      </c>
      <c r="Q142" t="s">
        <v>90</v>
      </c>
      <c r="R142" t="s">
        <v>90</v>
      </c>
      <c r="S142" t="s">
        <v>90</v>
      </c>
      <c r="T142" t="s">
        <v>90</v>
      </c>
      <c r="U142" t="s">
        <v>90</v>
      </c>
      <c r="V142" t="s">
        <v>90</v>
      </c>
    </row>
    <row r="143" spans="1:22" ht="20">
      <c r="A143" s="57">
        <v>37313</v>
      </c>
      <c r="B143" s="45" t="s">
        <v>665</v>
      </c>
      <c r="C143" s="45"/>
      <c r="D143" s="47">
        <v>2</v>
      </c>
      <c r="E143" s="47" t="s">
        <v>413</v>
      </c>
      <c r="F143" s="47" t="s">
        <v>471</v>
      </c>
      <c r="G143" s="47"/>
      <c r="H143" s="90" t="s">
        <v>575</v>
      </c>
      <c r="I143" s="65" t="s">
        <v>465</v>
      </c>
      <c r="J143" s="47" t="s">
        <v>203</v>
      </c>
      <c r="N143" t="s">
        <v>90</v>
      </c>
      <c r="O143" t="s">
        <v>90</v>
      </c>
      <c r="P143" t="s">
        <v>90</v>
      </c>
      <c r="Q143" t="s">
        <v>90</v>
      </c>
      <c r="R143" t="s">
        <v>256</v>
      </c>
      <c r="S143" t="s">
        <v>90</v>
      </c>
      <c r="T143" t="s">
        <v>90</v>
      </c>
      <c r="U143" t="s">
        <v>90</v>
      </c>
      <c r="V143" t="s">
        <v>90</v>
      </c>
    </row>
    <row r="144" spans="1:22" ht="20">
      <c r="A144" s="46">
        <v>37138</v>
      </c>
      <c r="B144" s="55" t="s">
        <v>671</v>
      </c>
      <c r="C144" s="45"/>
      <c r="D144" s="47">
        <v>2</v>
      </c>
      <c r="E144" s="47" t="s">
        <v>47</v>
      </c>
      <c r="F144" s="47" t="s">
        <v>470</v>
      </c>
      <c r="G144" s="47">
        <v>1</v>
      </c>
      <c r="H144" s="90" t="s">
        <v>576</v>
      </c>
      <c r="I144" s="45">
        <v>3</v>
      </c>
      <c r="J144" s="47" t="s">
        <v>458</v>
      </c>
      <c r="N144" t="s">
        <v>90</v>
      </c>
      <c r="O144" t="s">
        <v>90</v>
      </c>
      <c r="P144" t="s">
        <v>90</v>
      </c>
      <c r="Q144" t="s">
        <v>90</v>
      </c>
      <c r="R144" t="s">
        <v>90</v>
      </c>
      <c r="S144" t="s">
        <v>256</v>
      </c>
      <c r="T144" t="s">
        <v>256</v>
      </c>
      <c r="U144" t="s">
        <v>90</v>
      </c>
      <c r="V144" t="s">
        <v>90</v>
      </c>
    </row>
    <row r="145" spans="1:22" ht="20">
      <c r="A145" s="46">
        <v>37141</v>
      </c>
      <c r="B145" s="55" t="s">
        <v>670</v>
      </c>
      <c r="C145" s="45"/>
      <c r="D145" s="47">
        <v>2</v>
      </c>
      <c r="E145" s="47" t="s">
        <v>461</v>
      </c>
      <c r="F145" s="47" t="s">
        <v>470</v>
      </c>
      <c r="G145" s="47">
        <v>2</v>
      </c>
      <c r="H145" s="90" t="s">
        <v>579</v>
      </c>
      <c r="I145" s="45">
        <v>3</v>
      </c>
      <c r="J145" s="47" t="s">
        <v>458</v>
      </c>
      <c r="N145" t="s">
        <v>90</v>
      </c>
      <c r="O145" t="s">
        <v>90</v>
      </c>
      <c r="P145" t="s">
        <v>90</v>
      </c>
      <c r="Q145" t="s">
        <v>90</v>
      </c>
      <c r="R145" t="s">
        <v>90</v>
      </c>
      <c r="S145" t="s">
        <v>256</v>
      </c>
      <c r="T145" t="s">
        <v>256</v>
      </c>
      <c r="U145" t="s">
        <v>256</v>
      </c>
      <c r="V145" t="s">
        <v>90</v>
      </c>
    </row>
    <row r="146" spans="1:22" ht="20">
      <c r="A146" s="54">
        <v>37143</v>
      </c>
      <c r="B146" s="55" t="s">
        <v>669</v>
      </c>
      <c r="C146" s="56"/>
      <c r="D146" s="55"/>
      <c r="E146" s="56"/>
      <c r="F146" s="56"/>
      <c r="G146" s="56"/>
      <c r="H146" s="90" t="s">
        <v>581</v>
      </c>
      <c r="I146" s="55"/>
      <c r="J146" s="56"/>
      <c r="N146" t="s">
        <v>90</v>
      </c>
      <c r="O146" t="s">
        <v>90</v>
      </c>
      <c r="P146" t="s">
        <v>90</v>
      </c>
      <c r="Q146" t="s">
        <v>90</v>
      </c>
      <c r="R146" t="s">
        <v>90</v>
      </c>
      <c r="S146" t="s">
        <v>256</v>
      </c>
      <c r="T146" t="s">
        <v>256</v>
      </c>
      <c r="U146" t="s">
        <v>90</v>
      </c>
      <c r="V146" t="s">
        <v>90</v>
      </c>
    </row>
    <row r="147" spans="1:22" ht="20">
      <c r="A147" s="54">
        <v>37146</v>
      </c>
      <c r="B147" s="55" t="s">
        <v>668</v>
      </c>
      <c r="C147" s="55"/>
      <c r="D147" s="56">
        <v>2</v>
      </c>
      <c r="E147" s="56" t="s">
        <v>469</v>
      </c>
      <c r="F147" s="56" t="s">
        <v>418</v>
      </c>
      <c r="G147" s="56">
        <v>2</v>
      </c>
      <c r="H147" s="90" t="s">
        <v>584</v>
      </c>
      <c r="I147" s="55">
        <v>2</v>
      </c>
      <c r="J147" s="56" t="s">
        <v>458</v>
      </c>
      <c r="N147" t="s">
        <v>90</v>
      </c>
      <c r="O147" t="s">
        <v>90</v>
      </c>
      <c r="P147" t="s">
        <v>90</v>
      </c>
      <c r="Q147" t="s">
        <v>90</v>
      </c>
      <c r="R147" t="s">
        <v>90</v>
      </c>
      <c r="S147" t="s">
        <v>256</v>
      </c>
      <c r="T147" t="s">
        <v>256</v>
      </c>
      <c r="U147" t="s">
        <v>90</v>
      </c>
      <c r="V147" t="s">
        <v>90</v>
      </c>
    </row>
    <row r="148" spans="1:22" ht="20">
      <c r="A148" s="54">
        <v>37148</v>
      </c>
      <c r="B148" s="55" t="s">
        <v>667</v>
      </c>
      <c r="C148" s="55"/>
      <c r="D148" s="56">
        <v>2</v>
      </c>
      <c r="E148" s="56" t="s">
        <v>434</v>
      </c>
      <c r="F148" s="56" t="s">
        <v>471</v>
      </c>
      <c r="G148" s="56"/>
      <c r="H148" s="90" t="s">
        <v>586</v>
      </c>
      <c r="I148" s="55">
        <v>3</v>
      </c>
      <c r="J148" s="56" t="s">
        <v>458</v>
      </c>
      <c r="N148" t="s">
        <v>90</v>
      </c>
      <c r="O148" t="s">
        <v>90</v>
      </c>
      <c r="P148" t="s">
        <v>90</v>
      </c>
      <c r="Q148" t="s">
        <v>90</v>
      </c>
      <c r="R148" t="s">
        <v>90</v>
      </c>
      <c r="S148" t="s">
        <v>256</v>
      </c>
      <c r="T148" t="s">
        <v>256</v>
      </c>
      <c r="U148" t="s">
        <v>90</v>
      </c>
      <c r="V148" t="s">
        <v>90</v>
      </c>
    </row>
    <row r="149" spans="1:22" ht="20">
      <c r="A149" s="46">
        <v>37149</v>
      </c>
      <c r="B149" s="45" t="s">
        <v>666</v>
      </c>
      <c r="C149" s="45"/>
      <c r="D149" s="47">
        <v>2</v>
      </c>
      <c r="E149" s="47" t="s">
        <v>413</v>
      </c>
      <c r="F149" s="47" t="s">
        <v>419</v>
      </c>
      <c r="G149" s="47">
        <v>3</v>
      </c>
      <c r="H149" s="90" t="s">
        <v>587</v>
      </c>
      <c r="I149" s="45">
        <v>2</v>
      </c>
      <c r="J149" s="47" t="s">
        <v>458</v>
      </c>
      <c r="N149" t="s">
        <v>90</v>
      </c>
      <c r="O149" t="s">
        <v>90</v>
      </c>
      <c r="P149" t="s">
        <v>90</v>
      </c>
      <c r="Q149" t="s">
        <v>90</v>
      </c>
      <c r="R149" t="s">
        <v>90</v>
      </c>
      <c r="S149" t="s">
        <v>256</v>
      </c>
      <c r="T149" t="s">
        <v>256</v>
      </c>
      <c r="U149" t="s">
        <v>90</v>
      </c>
      <c r="V149" t="s">
        <v>90</v>
      </c>
    </row>
    <row r="150" spans="1:22" ht="20">
      <c r="A150" s="46">
        <v>37151</v>
      </c>
      <c r="B150" s="45" t="s">
        <v>674</v>
      </c>
      <c r="C150" s="45"/>
      <c r="D150" s="47">
        <v>2</v>
      </c>
      <c r="E150" s="47" t="s">
        <v>413</v>
      </c>
      <c r="F150" s="47" t="s">
        <v>421</v>
      </c>
      <c r="G150" s="47">
        <v>1</v>
      </c>
      <c r="H150" s="90" t="s">
        <v>589</v>
      </c>
      <c r="I150" s="45">
        <v>2</v>
      </c>
      <c r="J150" s="47" t="s">
        <v>458</v>
      </c>
      <c r="N150" t="s">
        <v>90</v>
      </c>
      <c r="O150" t="s">
        <v>90</v>
      </c>
      <c r="P150" t="s">
        <v>90</v>
      </c>
      <c r="Q150" t="s">
        <v>90</v>
      </c>
      <c r="R150" t="s">
        <v>90</v>
      </c>
      <c r="S150" t="s">
        <v>256</v>
      </c>
      <c r="T150" t="s">
        <v>256</v>
      </c>
      <c r="U150" t="s">
        <v>90</v>
      </c>
      <c r="V150" t="s">
        <v>90</v>
      </c>
    </row>
    <row r="151" spans="1:22" ht="20">
      <c r="A151" s="54">
        <v>37153</v>
      </c>
      <c r="B151" s="55" t="s">
        <v>677</v>
      </c>
      <c r="C151" s="55"/>
      <c r="D151" s="56">
        <v>2</v>
      </c>
      <c r="E151" s="56" t="s">
        <v>469</v>
      </c>
      <c r="F151" s="56" t="s">
        <v>421</v>
      </c>
      <c r="G151" s="56">
        <v>2</v>
      </c>
      <c r="H151" s="90" t="s">
        <v>591</v>
      </c>
      <c r="I151" s="55">
        <v>2</v>
      </c>
      <c r="J151" s="56" t="s">
        <v>458</v>
      </c>
      <c r="N151" t="s">
        <v>90</v>
      </c>
      <c r="O151" t="s">
        <v>90</v>
      </c>
      <c r="P151" t="s">
        <v>90</v>
      </c>
      <c r="Q151" t="s">
        <v>90</v>
      </c>
      <c r="R151" t="s">
        <v>90</v>
      </c>
      <c r="S151" t="s">
        <v>256</v>
      </c>
      <c r="T151" t="s">
        <v>256</v>
      </c>
      <c r="U151" t="s">
        <v>90</v>
      </c>
      <c r="V151" t="s">
        <v>90</v>
      </c>
    </row>
    <row r="152" spans="1:22" ht="20">
      <c r="A152" s="46">
        <v>37155</v>
      </c>
      <c r="B152" s="55" t="s">
        <v>678</v>
      </c>
      <c r="C152" s="45"/>
      <c r="D152" s="47">
        <v>2</v>
      </c>
      <c r="E152" s="47" t="s">
        <v>477</v>
      </c>
      <c r="F152" s="47" t="s">
        <v>435</v>
      </c>
      <c r="G152" s="47">
        <v>2</v>
      </c>
      <c r="H152" s="90" t="s">
        <v>593</v>
      </c>
      <c r="I152" s="45">
        <v>2</v>
      </c>
      <c r="J152" s="47" t="s">
        <v>458</v>
      </c>
      <c r="N152" t="s">
        <v>90</v>
      </c>
      <c r="O152" t="s">
        <v>90</v>
      </c>
      <c r="P152" t="s">
        <v>90</v>
      </c>
      <c r="Q152" t="s">
        <v>90</v>
      </c>
      <c r="R152" t="s">
        <v>90</v>
      </c>
      <c r="S152" t="s">
        <v>256</v>
      </c>
      <c r="T152" t="s">
        <v>256</v>
      </c>
      <c r="U152" t="s">
        <v>90</v>
      </c>
      <c r="V152" t="s">
        <v>90</v>
      </c>
    </row>
    <row r="153" spans="1:22" ht="20">
      <c r="A153" s="54">
        <v>37157</v>
      </c>
      <c r="B153" s="55" t="s">
        <v>679</v>
      </c>
      <c r="C153" s="55"/>
      <c r="D153" s="56">
        <v>2</v>
      </c>
      <c r="E153" s="56" t="s">
        <v>462</v>
      </c>
      <c r="F153" s="56" t="s">
        <v>478</v>
      </c>
      <c r="G153" s="56">
        <v>5</v>
      </c>
      <c r="H153" s="90" t="s">
        <v>596</v>
      </c>
      <c r="I153" s="55">
        <v>2</v>
      </c>
      <c r="J153" s="56" t="s">
        <v>458</v>
      </c>
      <c r="N153" t="s">
        <v>90</v>
      </c>
      <c r="O153" t="s">
        <v>90</v>
      </c>
      <c r="P153" t="s">
        <v>90</v>
      </c>
      <c r="Q153" t="s">
        <v>90</v>
      </c>
      <c r="R153" t="s">
        <v>90</v>
      </c>
      <c r="S153" t="s">
        <v>256</v>
      </c>
      <c r="T153" t="s">
        <v>256</v>
      </c>
      <c r="U153" t="s">
        <v>90</v>
      </c>
      <c r="V153" t="s">
        <v>90</v>
      </c>
    </row>
    <row r="154" spans="1:22" ht="20">
      <c r="A154" s="46">
        <v>37159</v>
      </c>
      <c r="B154" s="45" t="s">
        <v>680</v>
      </c>
      <c r="C154" s="45"/>
      <c r="D154" s="47">
        <v>2</v>
      </c>
      <c r="E154" s="47" t="s">
        <v>480</v>
      </c>
      <c r="F154" s="47" t="s">
        <v>470</v>
      </c>
      <c r="G154" s="47">
        <v>3</v>
      </c>
      <c r="H154" s="90" t="s">
        <v>599</v>
      </c>
      <c r="I154" s="45">
        <v>3</v>
      </c>
      <c r="J154" s="47" t="s">
        <v>458</v>
      </c>
      <c r="N154" t="s">
        <v>90</v>
      </c>
      <c r="O154" t="s">
        <v>90</v>
      </c>
      <c r="P154" t="s">
        <v>90</v>
      </c>
      <c r="Q154" t="s">
        <v>90</v>
      </c>
      <c r="R154" t="s">
        <v>90</v>
      </c>
      <c r="S154" t="s">
        <v>256</v>
      </c>
      <c r="T154" t="s">
        <v>256</v>
      </c>
      <c r="U154" t="s">
        <v>90</v>
      </c>
      <c r="V154" t="s">
        <v>90</v>
      </c>
    </row>
    <row r="155" spans="1:22" ht="20">
      <c r="A155" s="46">
        <v>37162</v>
      </c>
      <c r="B155" s="55" t="s">
        <v>681</v>
      </c>
      <c r="C155" s="45"/>
      <c r="D155" s="47">
        <v>2</v>
      </c>
      <c r="E155" s="47" t="s">
        <v>413</v>
      </c>
      <c r="F155" s="47" t="s">
        <v>470</v>
      </c>
      <c r="G155" s="47">
        <v>1</v>
      </c>
      <c r="H155" s="90" t="s">
        <v>602</v>
      </c>
      <c r="I155" s="45">
        <v>3</v>
      </c>
      <c r="J155" s="47" t="s">
        <v>458</v>
      </c>
      <c r="N155" t="s">
        <v>90</v>
      </c>
      <c r="O155" t="s">
        <v>90</v>
      </c>
      <c r="P155" t="s">
        <v>90</v>
      </c>
      <c r="Q155" t="s">
        <v>90</v>
      </c>
      <c r="R155" t="s">
        <v>90</v>
      </c>
      <c r="S155" t="s">
        <v>256</v>
      </c>
      <c r="T155" t="s">
        <v>256</v>
      </c>
      <c r="U155" t="s">
        <v>256</v>
      </c>
      <c r="V155" t="s">
        <v>90</v>
      </c>
    </row>
    <row r="156" spans="1:22" ht="20">
      <c r="A156" s="46">
        <v>37165</v>
      </c>
      <c r="B156" s="55" t="s">
        <v>682</v>
      </c>
      <c r="C156" s="45"/>
      <c r="D156" s="47">
        <v>2</v>
      </c>
      <c r="E156" s="47" t="s">
        <v>413</v>
      </c>
      <c r="F156" s="47" t="s">
        <v>418</v>
      </c>
      <c r="G156" s="47">
        <v>1</v>
      </c>
      <c r="H156" s="90" t="s">
        <v>604</v>
      </c>
      <c r="I156" s="45">
        <v>3</v>
      </c>
      <c r="J156" s="47" t="s">
        <v>458</v>
      </c>
      <c r="N156" t="s">
        <v>90</v>
      </c>
      <c r="O156" t="s">
        <v>90</v>
      </c>
      <c r="P156" t="s">
        <v>90</v>
      </c>
      <c r="Q156" t="s">
        <v>90</v>
      </c>
      <c r="R156" t="s">
        <v>90</v>
      </c>
      <c r="S156" t="s">
        <v>256</v>
      </c>
      <c r="T156" t="s">
        <v>256</v>
      </c>
      <c r="U156" t="s">
        <v>90</v>
      </c>
      <c r="V156" t="s">
        <v>90</v>
      </c>
    </row>
    <row r="157" spans="1:22" ht="20">
      <c r="A157" s="54">
        <v>37168</v>
      </c>
      <c r="B157" s="55" t="s">
        <v>684</v>
      </c>
      <c r="C157" s="55"/>
      <c r="D157" s="56">
        <v>2</v>
      </c>
      <c r="E157" s="56" t="s">
        <v>434</v>
      </c>
      <c r="F157" s="56" t="s">
        <v>418</v>
      </c>
      <c r="G157" s="56">
        <v>1</v>
      </c>
      <c r="H157" s="90" t="s">
        <v>607</v>
      </c>
      <c r="I157" s="55">
        <v>3</v>
      </c>
      <c r="J157" s="56" t="s">
        <v>458</v>
      </c>
      <c r="N157" t="s">
        <v>90</v>
      </c>
      <c r="O157" t="s">
        <v>90</v>
      </c>
      <c r="P157" t="s">
        <v>90</v>
      </c>
      <c r="Q157" t="s">
        <v>90</v>
      </c>
      <c r="R157" t="s">
        <v>90</v>
      </c>
      <c r="S157" t="s">
        <v>256</v>
      </c>
      <c r="T157" t="s">
        <v>256</v>
      </c>
      <c r="U157" t="s">
        <v>90</v>
      </c>
      <c r="V157" t="s">
        <v>90</v>
      </c>
    </row>
    <row r="158" spans="1:22" ht="20">
      <c r="A158" s="54">
        <v>37171</v>
      </c>
      <c r="B158" s="55" t="s">
        <v>685</v>
      </c>
      <c r="C158" s="55"/>
      <c r="D158" s="56">
        <v>2</v>
      </c>
      <c r="E158" s="56" t="s">
        <v>461</v>
      </c>
      <c r="F158" s="56" t="s">
        <v>418</v>
      </c>
      <c r="G158" s="56">
        <v>1</v>
      </c>
      <c r="H158" s="90" t="s">
        <v>610</v>
      </c>
      <c r="I158" s="55">
        <v>3</v>
      </c>
      <c r="J158" s="56" t="s">
        <v>458</v>
      </c>
      <c r="N158" t="s">
        <v>90</v>
      </c>
      <c r="O158" t="s">
        <v>90</v>
      </c>
      <c r="P158" t="s">
        <v>90</v>
      </c>
      <c r="Q158" t="s">
        <v>90</v>
      </c>
      <c r="R158" t="s">
        <v>90</v>
      </c>
      <c r="S158" t="s">
        <v>256</v>
      </c>
      <c r="T158" t="s">
        <v>256</v>
      </c>
      <c r="U158" t="s">
        <v>90</v>
      </c>
      <c r="V158" t="s">
        <v>90</v>
      </c>
    </row>
    <row r="159" spans="1:22" ht="20">
      <c r="A159" s="46">
        <v>37174</v>
      </c>
      <c r="B159" s="55" t="s">
        <v>686</v>
      </c>
      <c r="C159" s="45"/>
      <c r="D159" s="47">
        <v>2</v>
      </c>
      <c r="E159" s="47" t="s">
        <v>469</v>
      </c>
      <c r="F159" s="47" t="s">
        <v>420</v>
      </c>
      <c r="G159" s="47">
        <v>1</v>
      </c>
      <c r="H159" s="90" t="s">
        <v>613</v>
      </c>
      <c r="I159" s="45">
        <v>2</v>
      </c>
      <c r="J159" s="47" t="s">
        <v>458</v>
      </c>
      <c r="N159" t="s">
        <v>90</v>
      </c>
      <c r="O159" t="s">
        <v>90</v>
      </c>
      <c r="P159" t="s">
        <v>90</v>
      </c>
      <c r="Q159" t="s">
        <v>90</v>
      </c>
      <c r="R159" t="s">
        <v>90</v>
      </c>
      <c r="S159" t="s">
        <v>256</v>
      </c>
      <c r="T159" t="s">
        <v>256</v>
      </c>
      <c r="U159" t="s">
        <v>90</v>
      </c>
      <c r="V159" t="s">
        <v>90</v>
      </c>
    </row>
    <row r="160" spans="1:22" ht="20">
      <c r="A160" s="46">
        <v>37177</v>
      </c>
      <c r="B160" s="55" t="s">
        <v>687</v>
      </c>
      <c r="C160" s="45"/>
      <c r="D160" s="47">
        <v>2</v>
      </c>
      <c r="E160" s="47" t="s">
        <v>469</v>
      </c>
      <c r="F160" s="47" t="s">
        <v>419</v>
      </c>
      <c r="G160" s="47">
        <v>3</v>
      </c>
      <c r="H160" s="90" t="s">
        <v>616</v>
      </c>
      <c r="I160" s="45">
        <v>2</v>
      </c>
      <c r="J160" s="47" t="s">
        <v>458</v>
      </c>
      <c r="N160" t="s">
        <v>90</v>
      </c>
      <c r="O160" t="s">
        <v>90</v>
      </c>
      <c r="P160" t="s">
        <v>90</v>
      </c>
      <c r="Q160" t="s">
        <v>90</v>
      </c>
      <c r="R160" t="s">
        <v>90</v>
      </c>
      <c r="S160" t="s">
        <v>256</v>
      </c>
      <c r="T160" t="s">
        <v>256</v>
      </c>
      <c r="U160" t="s">
        <v>90</v>
      </c>
      <c r="V160" t="s">
        <v>90</v>
      </c>
    </row>
    <row r="161" spans="1:22" ht="20">
      <c r="A161" s="46">
        <v>37180</v>
      </c>
      <c r="B161" s="55" t="s">
        <v>688</v>
      </c>
      <c r="C161" s="55"/>
      <c r="D161" s="56">
        <v>2</v>
      </c>
      <c r="E161" s="47" t="s">
        <v>413</v>
      </c>
      <c r="F161" s="47" t="s">
        <v>420</v>
      </c>
      <c r="G161" s="47">
        <v>3</v>
      </c>
      <c r="H161" s="90" t="s">
        <v>619</v>
      </c>
      <c r="I161" s="50">
        <v>2</v>
      </c>
      <c r="J161" s="56" t="s">
        <v>458</v>
      </c>
      <c r="N161" t="s">
        <v>90</v>
      </c>
      <c r="O161" t="s">
        <v>90</v>
      </c>
      <c r="P161" t="s">
        <v>90</v>
      </c>
      <c r="Q161" t="s">
        <v>90</v>
      </c>
      <c r="R161" t="s">
        <v>90</v>
      </c>
      <c r="S161" t="s">
        <v>256</v>
      </c>
      <c r="T161" t="s">
        <v>256</v>
      </c>
      <c r="U161" t="s">
        <v>90</v>
      </c>
      <c r="V161" t="s">
        <v>90</v>
      </c>
    </row>
    <row r="162" spans="1:22" ht="20">
      <c r="A162" s="46">
        <v>37183</v>
      </c>
      <c r="B162" s="55" t="s">
        <v>689</v>
      </c>
      <c r="C162" s="45"/>
      <c r="D162" s="47">
        <v>2</v>
      </c>
      <c r="E162" s="47" t="s">
        <v>475</v>
      </c>
      <c r="F162" s="47" t="s">
        <v>435</v>
      </c>
      <c r="G162" s="47">
        <v>2</v>
      </c>
      <c r="H162" s="90" t="s">
        <v>573</v>
      </c>
      <c r="I162" s="45">
        <v>2</v>
      </c>
      <c r="J162" s="47" t="s">
        <v>458</v>
      </c>
      <c r="N162" t="s">
        <v>90</v>
      </c>
      <c r="O162" t="s">
        <v>90</v>
      </c>
      <c r="P162" t="s">
        <v>90</v>
      </c>
      <c r="Q162" t="s">
        <v>90</v>
      </c>
      <c r="R162" t="s">
        <v>90</v>
      </c>
      <c r="S162" t="s">
        <v>256</v>
      </c>
      <c r="T162" t="s">
        <v>256</v>
      </c>
      <c r="U162" t="s">
        <v>90</v>
      </c>
      <c r="V162" t="s">
        <v>90</v>
      </c>
    </row>
    <row r="163" spans="1:22" ht="20">
      <c r="A163" s="46">
        <v>37186</v>
      </c>
      <c r="B163" s="55" t="s">
        <v>690</v>
      </c>
      <c r="C163" s="45"/>
      <c r="D163" s="47">
        <v>2</v>
      </c>
      <c r="E163" s="47" t="s">
        <v>424</v>
      </c>
      <c r="F163" s="47" t="s">
        <v>468</v>
      </c>
      <c r="G163" s="47">
        <v>1</v>
      </c>
      <c r="H163" s="90" t="s">
        <v>576</v>
      </c>
      <c r="I163" s="45">
        <v>3</v>
      </c>
      <c r="J163" s="47" t="s">
        <v>458</v>
      </c>
      <c r="N163" t="s">
        <v>90</v>
      </c>
      <c r="O163" t="s">
        <v>90</v>
      </c>
      <c r="P163" t="s">
        <v>90</v>
      </c>
      <c r="Q163" t="s">
        <v>90</v>
      </c>
      <c r="R163" t="s">
        <v>90</v>
      </c>
      <c r="S163" t="s">
        <v>256</v>
      </c>
      <c r="T163" t="s">
        <v>256</v>
      </c>
      <c r="U163" t="s">
        <v>90</v>
      </c>
      <c r="V163" t="s">
        <v>90</v>
      </c>
    </row>
    <row r="164" spans="1:22" ht="20">
      <c r="A164" s="46">
        <v>37189</v>
      </c>
      <c r="B164" s="45" t="s">
        <v>692</v>
      </c>
      <c r="C164" s="45"/>
      <c r="D164" s="47">
        <v>2</v>
      </c>
      <c r="E164" s="47" t="s">
        <v>483</v>
      </c>
      <c r="F164" s="47" t="s">
        <v>433</v>
      </c>
      <c r="G164" s="47">
        <v>3</v>
      </c>
      <c r="H164" s="90" t="s">
        <v>579</v>
      </c>
      <c r="I164" s="45">
        <v>2</v>
      </c>
      <c r="J164" s="47" t="s">
        <v>458</v>
      </c>
      <c r="N164" t="s">
        <v>90</v>
      </c>
      <c r="O164" t="s">
        <v>90</v>
      </c>
      <c r="P164" t="s">
        <v>90</v>
      </c>
      <c r="Q164" t="s">
        <v>90</v>
      </c>
      <c r="R164" t="s">
        <v>90</v>
      </c>
      <c r="S164" t="s">
        <v>90</v>
      </c>
      <c r="T164" t="s">
        <v>90</v>
      </c>
      <c r="U164" t="s">
        <v>90</v>
      </c>
      <c r="V164" t="s">
        <v>90</v>
      </c>
    </row>
    <row r="165" spans="1:22" ht="20">
      <c r="A165" s="46">
        <v>37190</v>
      </c>
      <c r="B165" s="45" t="s">
        <v>693</v>
      </c>
      <c r="C165" s="45"/>
      <c r="D165" s="47">
        <v>2</v>
      </c>
      <c r="E165" s="47" t="s">
        <v>434</v>
      </c>
      <c r="F165" s="47" t="s">
        <v>414</v>
      </c>
      <c r="G165" s="47">
        <v>3</v>
      </c>
      <c r="H165" s="90" t="s">
        <v>580</v>
      </c>
      <c r="I165" s="45">
        <v>3</v>
      </c>
      <c r="J165" s="47" t="s">
        <v>458</v>
      </c>
      <c r="N165" t="s">
        <v>90</v>
      </c>
      <c r="O165" t="s">
        <v>90</v>
      </c>
      <c r="P165" t="s">
        <v>90</v>
      </c>
      <c r="Q165" t="s">
        <v>90</v>
      </c>
      <c r="R165" t="s">
        <v>90</v>
      </c>
      <c r="S165" t="s">
        <v>90</v>
      </c>
      <c r="T165" t="s">
        <v>90</v>
      </c>
      <c r="U165" t="s">
        <v>90</v>
      </c>
      <c r="V165" t="s">
        <v>90</v>
      </c>
    </row>
    <row r="166" spans="1:22" ht="20">
      <c r="A166" s="46">
        <v>37191</v>
      </c>
      <c r="B166" s="45" t="s">
        <v>694</v>
      </c>
      <c r="C166" s="45"/>
      <c r="D166" s="47">
        <v>2</v>
      </c>
      <c r="E166" s="47" t="s">
        <v>483</v>
      </c>
      <c r="F166" s="47" t="s">
        <v>414</v>
      </c>
      <c r="G166" s="47">
        <v>3</v>
      </c>
      <c r="H166" s="90" t="s">
        <v>581</v>
      </c>
      <c r="I166" s="45">
        <v>3</v>
      </c>
      <c r="J166" s="47" t="s">
        <v>458</v>
      </c>
      <c r="N166" t="s">
        <v>90</v>
      </c>
      <c r="O166" t="s">
        <v>90</v>
      </c>
      <c r="P166" t="s">
        <v>90</v>
      </c>
      <c r="Q166" t="s">
        <v>90</v>
      </c>
      <c r="R166" t="s">
        <v>90</v>
      </c>
      <c r="S166" t="s">
        <v>90</v>
      </c>
      <c r="T166" t="s">
        <v>90</v>
      </c>
      <c r="U166" t="s">
        <v>90</v>
      </c>
      <c r="V166" t="s">
        <v>90</v>
      </c>
    </row>
    <row r="167" spans="1:22" ht="20">
      <c r="A167" s="46">
        <v>37192</v>
      </c>
      <c r="B167" s="45" t="s">
        <v>695</v>
      </c>
      <c r="C167" s="45"/>
      <c r="D167" s="47">
        <v>2</v>
      </c>
      <c r="E167" s="47" t="s">
        <v>467</v>
      </c>
      <c r="F167" s="47" t="s">
        <v>445</v>
      </c>
      <c r="G167" s="47">
        <v>1</v>
      </c>
      <c r="H167" s="90" t="s">
        <v>582</v>
      </c>
      <c r="I167" s="45">
        <v>4</v>
      </c>
      <c r="J167" s="47" t="s">
        <v>458</v>
      </c>
      <c r="N167" t="s">
        <v>90</v>
      </c>
      <c r="O167" t="s">
        <v>90</v>
      </c>
      <c r="P167" t="s">
        <v>90</v>
      </c>
      <c r="Q167" t="s">
        <v>90</v>
      </c>
      <c r="R167" t="s">
        <v>90</v>
      </c>
      <c r="S167" t="s">
        <v>90</v>
      </c>
      <c r="T167" t="s">
        <v>90</v>
      </c>
      <c r="U167" t="s">
        <v>90</v>
      </c>
      <c r="V167" t="s">
        <v>90</v>
      </c>
    </row>
    <row r="168" spans="1:22" ht="20">
      <c r="A168" s="46">
        <v>37193</v>
      </c>
      <c r="B168" s="45" t="s">
        <v>696</v>
      </c>
      <c r="C168" s="45"/>
      <c r="D168" s="47">
        <v>2</v>
      </c>
      <c r="E168" s="47" t="s">
        <v>484</v>
      </c>
      <c r="F168" s="47" t="s">
        <v>417</v>
      </c>
      <c r="G168" s="47">
        <v>1</v>
      </c>
      <c r="H168" s="90" t="s">
        <v>583</v>
      </c>
      <c r="I168" s="45">
        <v>3</v>
      </c>
      <c r="J168" s="47" t="s">
        <v>458</v>
      </c>
      <c r="N168" t="s">
        <v>90</v>
      </c>
      <c r="O168" t="s">
        <v>90</v>
      </c>
      <c r="P168" t="s">
        <v>90</v>
      </c>
      <c r="Q168" t="s">
        <v>90</v>
      </c>
      <c r="R168" t="s">
        <v>90</v>
      </c>
      <c r="S168" t="s">
        <v>90</v>
      </c>
      <c r="T168" t="s">
        <v>90</v>
      </c>
      <c r="U168" t="s">
        <v>90</v>
      </c>
      <c r="V168" t="s">
        <v>90</v>
      </c>
    </row>
    <row r="169" spans="1:22" ht="20">
      <c r="A169" s="46">
        <v>37194</v>
      </c>
      <c r="B169" s="45" t="s">
        <v>697</v>
      </c>
      <c r="C169" s="45"/>
      <c r="D169" s="47">
        <v>2</v>
      </c>
      <c r="E169" s="47" t="s">
        <v>467</v>
      </c>
      <c r="F169" s="47" t="s">
        <v>417</v>
      </c>
      <c r="G169" s="47">
        <v>1</v>
      </c>
      <c r="H169" s="90" t="s">
        <v>584</v>
      </c>
      <c r="I169" s="45">
        <v>4</v>
      </c>
      <c r="J169" s="47" t="s">
        <v>458</v>
      </c>
      <c r="N169" t="s">
        <v>90</v>
      </c>
      <c r="O169" t="s">
        <v>90</v>
      </c>
      <c r="P169" t="s">
        <v>90</v>
      </c>
      <c r="Q169" t="s">
        <v>90</v>
      </c>
      <c r="R169" t="s">
        <v>90</v>
      </c>
      <c r="S169" t="s">
        <v>90</v>
      </c>
      <c r="T169" t="s">
        <v>90</v>
      </c>
      <c r="U169" t="s">
        <v>90</v>
      </c>
      <c r="V169" t="s">
        <v>90</v>
      </c>
    </row>
    <row r="170" spans="1:22" ht="20">
      <c r="A170" s="54">
        <v>37195</v>
      </c>
      <c r="B170" s="55" t="s">
        <v>698</v>
      </c>
      <c r="C170" s="55" t="s">
        <v>90</v>
      </c>
      <c r="D170" s="56">
        <v>2</v>
      </c>
      <c r="E170" s="56" t="s">
        <v>434</v>
      </c>
      <c r="F170" s="56" t="s">
        <v>463</v>
      </c>
      <c r="G170" s="56">
        <v>3</v>
      </c>
      <c r="H170" s="90" t="s">
        <v>585</v>
      </c>
      <c r="I170" s="55">
        <v>2</v>
      </c>
      <c r="J170" s="56" t="s">
        <v>458</v>
      </c>
      <c r="N170" t="s">
        <v>90</v>
      </c>
      <c r="O170" t="s">
        <v>90</v>
      </c>
      <c r="P170" t="s">
        <v>90</v>
      </c>
      <c r="Q170" t="s">
        <v>90</v>
      </c>
      <c r="R170" t="s">
        <v>90</v>
      </c>
      <c r="S170" t="s">
        <v>90</v>
      </c>
      <c r="T170" t="s">
        <v>90</v>
      </c>
      <c r="U170" t="s">
        <v>256</v>
      </c>
      <c r="V170" t="s">
        <v>90</v>
      </c>
    </row>
    <row r="171" spans="1:22" ht="20">
      <c r="A171" s="54">
        <v>37196</v>
      </c>
      <c r="B171" s="55" t="s">
        <v>699</v>
      </c>
      <c r="C171" s="55" t="s">
        <v>90</v>
      </c>
      <c r="D171" s="56">
        <v>2</v>
      </c>
      <c r="E171" s="56" t="s">
        <v>461</v>
      </c>
      <c r="F171" s="56" t="s">
        <v>463</v>
      </c>
      <c r="G171" s="56">
        <v>3</v>
      </c>
      <c r="H171" s="90" t="s">
        <v>586</v>
      </c>
      <c r="I171" s="55">
        <v>2</v>
      </c>
      <c r="J171" s="56" t="s">
        <v>458</v>
      </c>
      <c r="N171" t="s">
        <v>90</v>
      </c>
      <c r="O171" t="s">
        <v>90</v>
      </c>
      <c r="P171" t="s">
        <v>90</v>
      </c>
      <c r="Q171" t="s">
        <v>90</v>
      </c>
      <c r="R171" t="s">
        <v>90</v>
      </c>
      <c r="S171" t="s">
        <v>90</v>
      </c>
      <c r="T171" t="s">
        <v>90</v>
      </c>
      <c r="U171" t="s">
        <v>256</v>
      </c>
      <c r="V171" t="s">
        <v>90</v>
      </c>
    </row>
    <row r="172" spans="1:22" ht="20">
      <c r="A172" s="54">
        <v>37197</v>
      </c>
      <c r="B172" s="55" t="s">
        <v>700</v>
      </c>
      <c r="C172" s="55" t="s">
        <v>90</v>
      </c>
      <c r="D172" s="56">
        <v>2</v>
      </c>
      <c r="E172" s="56" t="s">
        <v>434</v>
      </c>
      <c r="F172" s="56" t="s">
        <v>485</v>
      </c>
      <c r="G172" s="56">
        <v>3</v>
      </c>
      <c r="H172" s="90" t="s">
        <v>587</v>
      </c>
      <c r="I172" s="55">
        <v>3</v>
      </c>
      <c r="J172" s="56" t="s">
        <v>458</v>
      </c>
      <c r="N172" t="s">
        <v>90</v>
      </c>
      <c r="O172" t="s">
        <v>90</v>
      </c>
      <c r="P172" t="s">
        <v>90</v>
      </c>
      <c r="Q172" t="s">
        <v>90</v>
      </c>
      <c r="R172" t="s">
        <v>90</v>
      </c>
      <c r="S172" t="s">
        <v>90</v>
      </c>
      <c r="T172" t="s">
        <v>90</v>
      </c>
      <c r="U172" t="s">
        <v>256</v>
      </c>
      <c r="V172" t="s">
        <v>90</v>
      </c>
    </row>
    <row r="173" spans="1:22" ht="20">
      <c r="A173" s="54">
        <v>37198</v>
      </c>
      <c r="B173" s="55" t="s">
        <v>701</v>
      </c>
      <c r="C173" s="55" t="s">
        <v>90</v>
      </c>
      <c r="D173" s="56">
        <v>2</v>
      </c>
      <c r="E173" s="56" t="s">
        <v>484</v>
      </c>
      <c r="F173" s="56" t="s">
        <v>485</v>
      </c>
      <c r="G173" s="56">
        <v>3</v>
      </c>
      <c r="H173" s="90" t="s">
        <v>588</v>
      </c>
      <c r="I173" s="55">
        <v>3</v>
      </c>
      <c r="J173" s="56" t="s">
        <v>458</v>
      </c>
      <c r="N173" t="s">
        <v>90</v>
      </c>
      <c r="O173" t="s">
        <v>90</v>
      </c>
      <c r="P173" t="s">
        <v>90</v>
      </c>
      <c r="Q173" t="s">
        <v>90</v>
      </c>
      <c r="R173" t="s">
        <v>90</v>
      </c>
      <c r="S173" t="s">
        <v>90</v>
      </c>
      <c r="T173" t="s">
        <v>90</v>
      </c>
      <c r="U173" t="s">
        <v>256</v>
      </c>
      <c r="V173" t="s">
        <v>90</v>
      </c>
    </row>
    <row r="174" spans="1:22" ht="20">
      <c r="A174" s="46">
        <v>37199</v>
      </c>
      <c r="B174" s="45" t="s">
        <v>702</v>
      </c>
      <c r="C174" s="45" t="s">
        <v>90</v>
      </c>
      <c r="D174" s="47">
        <v>2</v>
      </c>
      <c r="E174" s="47" t="s">
        <v>469</v>
      </c>
      <c r="F174" s="47" t="s">
        <v>433</v>
      </c>
      <c r="G174" s="47">
        <v>3</v>
      </c>
      <c r="H174" s="90" t="s">
        <v>589</v>
      </c>
      <c r="I174" s="45">
        <v>2</v>
      </c>
      <c r="J174" s="47" t="s">
        <v>458</v>
      </c>
      <c r="N174" t="s">
        <v>90</v>
      </c>
      <c r="O174" t="s">
        <v>90</v>
      </c>
      <c r="P174" t="s">
        <v>90</v>
      </c>
      <c r="Q174" t="s">
        <v>90</v>
      </c>
      <c r="R174" t="s">
        <v>90</v>
      </c>
      <c r="S174" t="s">
        <v>90</v>
      </c>
      <c r="T174" t="s">
        <v>90</v>
      </c>
      <c r="U174" t="s">
        <v>90</v>
      </c>
      <c r="V174" t="s">
        <v>90</v>
      </c>
    </row>
    <row r="175" spans="1:22" ht="20">
      <c r="A175" s="46">
        <v>37200</v>
      </c>
      <c r="B175" s="45" t="s">
        <v>703</v>
      </c>
      <c r="C175" s="45" t="s">
        <v>90</v>
      </c>
      <c r="D175" s="47">
        <v>2</v>
      </c>
      <c r="E175" s="47" t="s">
        <v>69</v>
      </c>
      <c r="F175" s="47" t="s">
        <v>414</v>
      </c>
      <c r="G175" s="47">
        <v>3</v>
      </c>
      <c r="H175" s="90" t="s">
        <v>590</v>
      </c>
      <c r="I175" s="45">
        <v>3</v>
      </c>
      <c r="J175" s="47" t="s">
        <v>458</v>
      </c>
      <c r="N175" t="s">
        <v>90</v>
      </c>
      <c r="O175" t="s">
        <v>90</v>
      </c>
      <c r="P175" t="s">
        <v>90</v>
      </c>
      <c r="Q175" t="s">
        <v>90</v>
      </c>
      <c r="R175" t="s">
        <v>90</v>
      </c>
      <c r="S175" t="s">
        <v>90</v>
      </c>
      <c r="T175" t="s">
        <v>90</v>
      </c>
      <c r="U175" t="s">
        <v>90</v>
      </c>
      <c r="V175" t="s">
        <v>90</v>
      </c>
    </row>
    <row r="176" spans="1:22" ht="20">
      <c r="A176" s="54">
        <v>37201</v>
      </c>
      <c r="B176" s="55" t="s">
        <v>704</v>
      </c>
      <c r="C176" s="55" t="s">
        <v>90</v>
      </c>
      <c r="D176" s="56">
        <v>2</v>
      </c>
      <c r="E176" s="56" t="s">
        <v>47</v>
      </c>
      <c r="F176" s="56" t="s">
        <v>414</v>
      </c>
      <c r="G176" s="56">
        <v>3</v>
      </c>
      <c r="H176" s="90" t="s">
        <v>591</v>
      </c>
      <c r="I176" s="55">
        <v>3</v>
      </c>
      <c r="J176" s="56" t="s">
        <v>458</v>
      </c>
      <c r="N176" t="s">
        <v>90</v>
      </c>
      <c r="O176" t="s">
        <v>90</v>
      </c>
      <c r="P176" t="s">
        <v>90</v>
      </c>
      <c r="Q176" t="s">
        <v>90</v>
      </c>
      <c r="R176" t="s">
        <v>90</v>
      </c>
      <c r="S176" t="s">
        <v>90</v>
      </c>
      <c r="T176" t="s">
        <v>90</v>
      </c>
      <c r="U176" t="s">
        <v>90</v>
      </c>
      <c r="V176" t="s">
        <v>90</v>
      </c>
    </row>
    <row r="177" spans="1:22" ht="20">
      <c r="A177" s="46">
        <v>37202</v>
      </c>
      <c r="B177" s="45" t="s">
        <v>705</v>
      </c>
      <c r="C177" s="45" t="s">
        <v>90</v>
      </c>
      <c r="D177" s="47">
        <v>2</v>
      </c>
      <c r="E177" s="47" t="s">
        <v>467</v>
      </c>
      <c r="F177" s="47" t="s">
        <v>445</v>
      </c>
      <c r="G177" s="47">
        <v>1</v>
      </c>
      <c r="H177" s="90" t="s">
        <v>592</v>
      </c>
      <c r="I177" s="45">
        <v>4</v>
      </c>
      <c r="J177" s="47" t="s">
        <v>458</v>
      </c>
      <c r="N177" t="s">
        <v>90</v>
      </c>
      <c r="O177" t="s">
        <v>90</v>
      </c>
      <c r="P177" t="s">
        <v>90</v>
      </c>
      <c r="Q177" t="s">
        <v>90</v>
      </c>
      <c r="R177" t="s">
        <v>90</v>
      </c>
      <c r="S177" t="s">
        <v>90</v>
      </c>
      <c r="T177" t="s">
        <v>90</v>
      </c>
      <c r="U177" t="s">
        <v>90</v>
      </c>
      <c r="V177" t="s">
        <v>90</v>
      </c>
    </row>
    <row r="178" spans="1:22" ht="20">
      <c r="A178" s="46">
        <v>37203</v>
      </c>
      <c r="B178" s="45" t="s">
        <v>706</v>
      </c>
      <c r="C178" s="45" t="s">
        <v>90</v>
      </c>
      <c r="D178" s="47">
        <v>2</v>
      </c>
      <c r="E178" s="47" t="s">
        <v>469</v>
      </c>
      <c r="F178" s="47" t="s">
        <v>420</v>
      </c>
      <c r="G178" s="47">
        <v>3</v>
      </c>
      <c r="H178" s="90" t="s">
        <v>593</v>
      </c>
      <c r="I178" s="45">
        <v>2</v>
      </c>
      <c r="J178" s="47" t="s">
        <v>458</v>
      </c>
      <c r="N178" t="s">
        <v>90</v>
      </c>
      <c r="O178" t="s">
        <v>90</v>
      </c>
      <c r="P178" t="s">
        <v>90</v>
      </c>
      <c r="Q178" t="s">
        <v>90</v>
      </c>
      <c r="R178" t="s">
        <v>90</v>
      </c>
      <c r="S178" t="s">
        <v>90</v>
      </c>
      <c r="T178" t="s">
        <v>90</v>
      </c>
      <c r="U178" t="s">
        <v>90</v>
      </c>
      <c r="V178" t="s">
        <v>256</v>
      </c>
    </row>
    <row r="179" spans="1:22" ht="20">
      <c r="A179" s="46">
        <v>37204</v>
      </c>
      <c r="B179" s="45" t="s">
        <v>707</v>
      </c>
      <c r="C179" s="45" t="s">
        <v>90</v>
      </c>
      <c r="D179" s="47">
        <v>2</v>
      </c>
      <c r="E179" s="47" t="s">
        <v>434</v>
      </c>
      <c r="F179" s="47" t="s">
        <v>421</v>
      </c>
      <c r="G179" s="47">
        <v>1</v>
      </c>
      <c r="H179" s="90" t="s">
        <v>594</v>
      </c>
      <c r="I179" s="45">
        <v>3</v>
      </c>
      <c r="J179" s="47" t="s">
        <v>458</v>
      </c>
      <c r="N179" t="s">
        <v>90</v>
      </c>
      <c r="O179" t="s">
        <v>90</v>
      </c>
      <c r="P179" t="s">
        <v>90</v>
      </c>
      <c r="Q179" t="s">
        <v>90</v>
      </c>
      <c r="R179" t="s">
        <v>90</v>
      </c>
      <c r="S179" t="s">
        <v>90</v>
      </c>
      <c r="T179" t="s">
        <v>90</v>
      </c>
      <c r="U179" t="s">
        <v>90</v>
      </c>
      <c r="V179" t="s">
        <v>256</v>
      </c>
    </row>
    <row r="180" spans="1:22" ht="20">
      <c r="A180" s="46">
        <v>37205</v>
      </c>
      <c r="B180" s="45" t="s">
        <v>708</v>
      </c>
      <c r="C180" s="45" t="s">
        <v>90</v>
      </c>
      <c r="D180" s="47">
        <v>2</v>
      </c>
      <c r="E180" s="47" t="s">
        <v>461</v>
      </c>
      <c r="F180" s="47" t="s">
        <v>414</v>
      </c>
      <c r="G180" s="47">
        <v>3</v>
      </c>
      <c r="H180" s="90" t="s">
        <v>595</v>
      </c>
      <c r="I180" s="45">
        <v>3</v>
      </c>
      <c r="J180" s="47" t="s">
        <v>458</v>
      </c>
      <c r="N180" t="s">
        <v>90</v>
      </c>
      <c r="O180" t="s">
        <v>90</v>
      </c>
      <c r="P180" t="s">
        <v>90</v>
      </c>
      <c r="Q180" t="s">
        <v>90</v>
      </c>
      <c r="R180" t="s">
        <v>90</v>
      </c>
      <c r="S180" t="s">
        <v>90</v>
      </c>
      <c r="T180" t="s">
        <v>90</v>
      </c>
      <c r="U180" t="s">
        <v>90</v>
      </c>
      <c r="V180" t="s">
        <v>256</v>
      </c>
    </row>
    <row r="181" spans="1:22" ht="20">
      <c r="A181" s="46">
        <v>37206</v>
      </c>
      <c r="B181" s="45" t="s">
        <v>709</v>
      </c>
      <c r="C181" s="45"/>
      <c r="D181" s="47">
        <v>2</v>
      </c>
      <c r="E181" s="47" t="s">
        <v>467</v>
      </c>
      <c r="F181" s="47" t="s">
        <v>445</v>
      </c>
      <c r="G181" s="47">
        <v>1</v>
      </c>
      <c r="H181" s="90" t="s">
        <v>596</v>
      </c>
      <c r="I181" s="45">
        <v>4</v>
      </c>
      <c r="J181" s="47" t="s">
        <v>458</v>
      </c>
      <c r="N181" t="s">
        <v>90</v>
      </c>
      <c r="O181" t="s">
        <v>90</v>
      </c>
      <c r="P181" t="s">
        <v>90</v>
      </c>
      <c r="Q181" t="s">
        <v>90</v>
      </c>
      <c r="R181" t="s">
        <v>90</v>
      </c>
      <c r="S181" t="s">
        <v>90</v>
      </c>
      <c r="T181" t="s">
        <v>90</v>
      </c>
      <c r="U181" t="s">
        <v>90</v>
      </c>
      <c r="V181" t="s">
        <v>256</v>
      </c>
    </row>
    <row r="182" spans="1:22" ht="20">
      <c r="A182" s="46">
        <v>37207</v>
      </c>
      <c r="B182" s="45" t="s">
        <v>710</v>
      </c>
      <c r="C182" s="45" t="s">
        <v>90</v>
      </c>
      <c r="D182" s="47">
        <v>2</v>
      </c>
      <c r="E182" s="47" t="s">
        <v>413</v>
      </c>
      <c r="F182" s="47" t="s">
        <v>418</v>
      </c>
      <c r="G182" s="47">
        <v>3</v>
      </c>
      <c r="H182" s="90" t="s">
        <v>597</v>
      </c>
      <c r="I182" s="45">
        <v>2</v>
      </c>
      <c r="J182" s="47" t="s">
        <v>458</v>
      </c>
      <c r="N182" t="s">
        <v>90</v>
      </c>
      <c r="O182" t="s">
        <v>90</v>
      </c>
      <c r="P182" t="s">
        <v>90</v>
      </c>
      <c r="Q182" t="s">
        <v>90</v>
      </c>
      <c r="R182" t="s">
        <v>90</v>
      </c>
      <c r="S182" t="s">
        <v>90</v>
      </c>
      <c r="T182" t="s">
        <v>90</v>
      </c>
      <c r="U182" t="s">
        <v>90</v>
      </c>
      <c r="V182" t="s">
        <v>90</v>
      </c>
    </row>
    <row r="183" spans="1:22" ht="20">
      <c r="A183" s="46">
        <v>37208</v>
      </c>
      <c r="B183" s="45" t="s">
        <v>711</v>
      </c>
      <c r="C183" s="45" t="s">
        <v>90</v>
      </c>
      <c r="D183" s="47">
        <v>2</v>
      </c>
      <c r="E183" s="47" t="s">
        <v>469</v>
      </c>
      <c r="F183" s="47" t="s">
        <v>421</v>
      </c>
      <c r="G183" s="47">
        <v>3</v>
      </c>
      <c r="H183" s="90" t="s">
        <v>598</v>
      </c>
      <c r="I183" s="45">
        <v>2</v>
      </c>
      <c r="J183" s="47" t="s">
        <v>458</v>
      </c>
      <c r="N183" t="s">
        <v>90</v>
      </c>
      <c r="O183" t="s">
        <v>90</v>
      </c>
      <c r="P183" t="s">
        <v>90</v>
      </c>
      <c r="Q183" t="s">
        <v>90</v>
      </c>
      <c r="R183" t="s">
        <v>90</v>
      </c>
      <c r="S183" t="s">
        <v>90</v>
      </c>
      <c r="T183" t="s">
        <v>90</v>
      </c>
      <c r="U183" t="s">
        <v>90</v>
      </c>
      <c r="V183" t="s">
        <v>90</v>
      </c>
    </row>
    <row r="184" spans="1:22" ht="20">
      <c r="A184" s="46">
        <v>37209</v>
      </c>
      <c r="B184" s="45" t="s">
        <v>712</v>
      </c>
      <c r="C184" s="45" t="s">
        <v>90</v>
      </c>
      <c r="D184" s="47">
        <v>2</v>
      </c>
      <c r="E184" s="47" t="s">
        <v>413</v>
      </c>
      <c r="F184" s="47" t="s">
        <v>421</v>
      </c>
      <c r="G184" s="47">
        <v>1</v>
      </c>
      <c r="H184" s="90" t="s">
        <v>599</v>
      </c>
      <c r="I184" s="45">
        <v>3</v>
      </c>
      <c r="J184" s="47" t="s">
        <v>458</v>
      </c>
      <c r="N184" t="s">
        <v>90</v>
      </c>
      <c r="O184" t="s">
        <v>90</v>
      </c>
      <c r="P184" t="s">
        <v>90</v>
      </c>
      <c r="Q184" t="s">
        <v>90</v>
      </c>
      <c r="R184" t="s">
        <v>90</v>
      </c>
      <c r="S184" t="s">
        <v>90</v>
      </c>
      <c r="T184" t="s">
        <v>90</v>
      </c>
      <c r="U184" t="s">
        <v>90</v>
      </c>
      <c r="V184" t="s">
        <v>90</v>
      </c>
    </row>
    <row r="185" spans="1:22" ht="20">
      <c r="A185" s="46">
        <v>37210</v>
      </c>
      <c r="B185" s="45" t="s">
        <v>713</v>
      </c>
      <c r="C185" s="45" t="s">
        <v>90</v>
      </c>
      <c r="D185" s="47">
        <v>2</v>
      </c>
      <c r="E185" s="47" t="s">
        <v>462</v>
      </c>
      <c r="F185" s="47" t="s">
        <v>417</v>
      </c>
      <c r="G185" s="47">
        <v>3</v>
      </c>
      <c r="H185" s="90" t="s">
        <v>600</v>
      </c>
      <c r="I185" s="45">
        <v>3</v>
      </c>
      <c r="J185" s="47" t="s">
        <v>458</v>
      </c>
      <c r="N185" t="s">
        <v>90</v>
      </c>
      <c r="O185" t="s">
        <v>90</v>
      </c>
      <c r="P185" t="s">
        <v>90</v>
      </c>
      <c r="Q185" t="s">
        <v>90</v>
      </c>
      <c r="R185" t="s">
        <v>90</v>
      </c>
      <c r="S185" t="s">
        <v>90</v>
      </c>
      <c r="T185" t="s">
        <v>90</v>
      </c>
      <c r="U185" t="s">
        <v>90</v>
      </c>
      <c r="V185" t="s">
        <v>90</v>
      </c>
    </row>
    <row r="186" spans="1:22" ht="20">
      <c r="A186" s="54">
        <v>37211</v>
      </c>
      <c r="B186" s="55" t="s">
        <v>714</v>
      </c>
      <c r="C186" s="55"/>
      <c r="D186" s="56">
        <v>2</v>
      </c>
      <c r="E186" s="56" t="s">
        <v>486</v>
      </c>
      <c r="F186" s="56" t="s">
        <v>474</v>
      </c>
      <c r="G186" s="56"/>
      <c r="H186" s="90" t="s">
        <v>601</v>
      </c>
      <c r="I186" s="72" t="s">
        <v>487</v>
      </c>
      <c r="J186" s="56" t="s">
        <v>460</v>
      </c>
      <c r="N186" t="s">
        <v>90</v>
      </c>
      <c r="O186" t="s">
        <v>90</v>
      </c>
      <c r="P186" t="s">
        <v>90</v>
      </c>
      <c r="Q186" t="s">
        <v>90</v>
      </c>
      <c r="R186" t="s">
        <v>90</v>
      </c>
      <c r="S186" t="s">
        <v>90</v>
      </c>
      <c r="T186" t="s">
        <v>90</v>
      </c>
      <c r="U186" t="s">
        <v>90</v>
      </c>
      <c r="V186" t="s">
        <v>90</v>
      </c>
    </row>
    <row r="187" spans="1:22" ht="20">
      <c r="A187" s="54">
        <v>37212</v>
      </c>
      <c r="B187" s="55" t="s">
        <v>715</v>
      </c>
      <c r="C187" s="55"/>
      <c r="D187" s="56">
        <v>2</v>
      </c>
      <c r="E187" s="56" t="s">
        <v>488</v>
      </c>
      <c r="F187" s="56" t="s">
        <v>474</v>
      </c>
      <c r="G187" s="56"/>
      <c r="H187" s="90" t="s">
        <v>602</v>
      </c>
      <c r="I187" s="55">
        <v>4</v>
      </c>
      <c r="J187" s="56" t="s">
        <v>458</v>
      </c>
      <c r="N187" t="s">
        <v>90</v>
      </c>
      <c r="O187" t="s">
        <v>90</v>
      </c>
      <c r="P187" t="s">
        <v>90</v>
      </c>
      <c r="Q187" t="s">
        <v>90</v>
      </c>
      <c r="R187" t="s">
        <v>90</v>
      </c>
      <c r="S187" t="s">
        <v>90</v>
      </c>
      <c r="T187" t="s">
        <v>90</v>
      </c>
      <c r="U187" t="s">
        <v>90</v>
      </c>
      <c r="V187" t="s">
        <v>90</v>
      </c>
    </row>
    <row r="188" spans="1:22" ht="20">
      <c r="A188" s="46">
        <v>37213</v>
      </c>
      <c r="B188" s="45" t="s">
        <v>716</v>
      </c>
      <c r="C188" s="45" t="s">
        <v>90</v>
      </c>
      <c r="D188" s="47">
        <v>2</v>
      </c>
      <c r="E188" s="47" t="s">
        <v>469</v>
      </c>
      <c r="F188" s="47" t="s">
        <v>433</v>
      </c>
      <c r="G188" s="47">
        <v>3</v>
      </c>
      <c r="H188" s="90" t="s">
        <v>620</v>
      </c>
      <c r="I188" s="45">
        <v>2</v>
      </c>
      <c r="J188" s="47" t="s">
        <v>458</v>
      </c>
      <c r="N188" t="s">
        <v>90</v>
      </c>
      <c r="O188" t="s">
        <v>90</v>
      </c>
      <c r="P188" t="s">
        <v>90</v>
      </c>
      <c r="Q188" t="s">
        <v>90</v>
      </c>
      <c r="R188" t="s">
        <v>90</v>
      </c>
      <c r="S188" t="s">
        <v>90</v>
      </c>
      <c r="T188" t="s">
        <v>90</v>
      </c>
      <c r="U188" t="s">
        <v>90</v>
      </c>
      <c r="V188" t="s">
        <v>90</v>
      </c>
    </row>
    <row r="189" spans="1:22" ht="20">
      <c r="A189" s="46">
        <v>37214</v>
      </c>
      <c r="B189" s="45" t="s">
        <v>717</v>
      </c>
      <c r="C189" s="45" t="s">
        <v>90</v>
      </c>
      <c r="D189" s="47">
        <v>2</v>
      </c>
      <c r="E189" s="47" t="s">
        <v>434</v>
      </c>
      <c r="F189" s="47" t="s">
        <v>414</v>
      </c>
      <c r="G189" s="47">
        <v>3</v>
      </c>
      <c r="H189" s="90" t="s">
        <v>603</v>
      </c>
      <c r="I189" s="45">
        <v>3</v>
      </c>
      <c r="J189" s="47" t="s">
        <v>458</v>
      </c>
      <c r="N189" t="s">
        <v>90</v>
      </c>
      <c r="O189" t="s">
        <v>90</v>
      </c>
      <c r="P189" t="s">
        <v>90</v>
      </c>
      <c r="Q189" t="s">
        <v>90</v>
      </c>
      <c r="R189" t="s">
        <v>90</v>
      </c>
      <c r="S189" t="s">
        <v>90</v>
      </c>
      <c r="T189" t="s">
        <v>90</v>
      </c>
      <c r="U189" t="s">
        <v>90</v>
      </c>
      <c r="V189" t="s">
        <v>90</v>
      </c>
    </row>
    <row r="190" spans="1:22" ht="20">
      <c r="A190" s="46">
        <v>37215</v>
      </c>
      <c r="B190" s="45" t="s">
        <v>718</v>
      </c>
      <c r="C190" s="45" t="s">
        <v>90</v>
      </c>
      <c r="D190" s="47">
        <v>2</v>
      </c>
      <c r="E190" s="47" t="s">
        <v>461</v>
      </c>
      <c r="F190" s="47" t="s">
        <v>457</v>
      </c>
      <c r="G190" s="47">
        <v>1</v>
      </c>
      <c r="H190" s="90" t="s">
        <v>604</v>
      </c>
      <c r="I190" s="45">
        <v>3</v>
      </c>
      <c r="J190" s="47" t="s">
        <v>458</v>
      </c>
      <c r="N190" t="s">
        <v>90</v>
      </c>
      <c r="O190" t="s">
        <v>90</v>
      </c>
      <c r="P190" t="s">
        <v>90</v>
      </c>
      <c r="Q190" t="s">
        <v>90</v>
      </c>
      <c r="R190" t="s">
        <v>90</v>
      </c>
      <c r="S190" t="s">
        <v>90</v>
      </c>
      <c r="T190" t="s">
        <v>90</v>
      </c>
      <c r="U190" t="s">
        <v>90</v>
      </c>
      <c r="V190" t="s">
        <v>90</v>
      </c>
    </row>
    <row r="191" spans="1:22" ht="20">
      <c r="A191" s="46">
        <v>37216</v>
      </c>
      <c r="B191" s="45" t="s">
        <v>719</v>
      </c>
      <c r="C191" s="45" t="s">
        <v>90</v>
      </c>
      <c r="D191" s="47">
        <v>2</v>
      </c>
      <c r="E191" s="47" t="s">
        <v>467</v>
      </c>
      <c r="F191" s="47" t="s">
        <v>417</v>
      </c>
      <c r="G191" s="47">
        <v>2</v>
      </c>
      <c r="H191" s="90" t="s">
        <v>605</v>
      </c>
      <c r="I191" s="45">
        <v>4</v>
      </c>
      <c r="J191" s="47" t="s">
        <v>458</v>
      </c>
      <c r="N191" t="s">
        <v>90</v>
      </c>
      <c r="O191" t="s">
        <v>90</v>
      </c>
      <c r="P191" t="s">
        <v>90</v>
      </c>
      <c r="Q191" t="s">
        <v>90</v>
      </c>
      <c r="R191" t="s">
        <v>90</v>
      </c>
      <c r="S191" t="s">
        <v>90</v>
      </c>
      <c r="T191" t="s">
        <v>90</v>
      </c>
      <c r="U191" t="s">
        <v>90</v>
      </c>
      <c r="V191" t="s">
        <v>90</v>
      </c>
    </row>
    <row r="192" spans="1:22" ht="20">
      <c r="A192" s="46">
        <v>37217</v>
      </c>
      <c r="B192" s="45" t="s">
        <v>720</v>
      </c>
      <c r="C192" s="45" t="s">
        <v>90</v>
      </c>
      <c r="D192" s="47">
        <v>2</v>
      </c>
      <c r="E192" s="47" t="s">
        <v>469</v>
      </c>
      <c r="F192" s="47" t="s">
        <v>420</v>
      </c>
      <c r="G192" s="47">
        <v>3</v>
      </c>
      <c r="H192" s="90" t="s">
        <v>606</v>
      </c>
      <c r="I192" s="45">
        <v>2</v>
      </c>
      <c r="J192" s="47" t="s">
        <v>458</v>
      </c>
      <c r="N192" t="s">
        <v>90</v>
      </c>
      <c r="O192" t="s">
        <v>90</v>
      </c>
      <c r="P192" t="s">
        <v>90</v>
      </c>
      <c r="Q192" t="s">
        <v>90</v>
      </c>
      <c r="R192" t="s">
        <v>90</v>
      </c>
      <c r="S192" t="s">
        <v>90</v>
      </c>
      <c r="T192" t="s">
        <v>90</v>
      </c>
      <c r="U192" t="s">
        <v>90</v>
      </c>
      <c r="V192" t="s">
        <v>90</v>
      </c>
    </row>
    <row r="193" spans="1:22" ht="20">
      <c r="A193" s="46">
        <v>37218</v>
      </c>
      <c r="B193" s="45" t="s">
        <v>721</v>
      </c>
      <c r="C193" s="45" t="s">
        <v>90</v>
      </c>
      <c r="D193" s="47">
        <v>2</v>
      </c>
      <c r="E193" s="47" t="s">
        <v>434</v>
      </c>
      <c r="F193" s="47" t="s">
        <v>421</v>
      </c>
      <c r="G193" s="47">
        <v>1</v>
      </c>
      <c r="H193" s="90" t="s">
        <v>607</v>
      </c>
      <c r="I193" s="45">
        <v>3</v>
      </c>
      <c r="J193" s="47" t="s">
        <v>458</v>
      </c>
      <c r="N193" t="s">
        <v>90</v>
      </c>
      <c r="O193" t="s">
        <v>90</v>
      </c>
      <c r="P193" t="s">
        <v>90</v>
      </c>
      <c r="Q193" t="s">
        <v>90</v>
      </c>
      <c r="R193" t="s">
        <v>90</v>
      </c>
      <c r="S193" t="s">
        <v>90</v>
      </c>
      <c r="T193" t="s">
        <v>90</v>
      </c>
      <c r="U193" t="s">
        <v>90</v>
      </c>
      <c r="V193" t="s">
        <v>90</v>
      </c>
    </row>
    <row r="194" spans="1:22" ht="20">
      <c r="A194" s="46">
        <v>37219</v>
      </c>
      <c r="B194" s="45" t="s">
        <v>722</v>
      </c>
      <c r="C194" s="45" t="s">
        <v>90</v>
      </c>
      <c r="D194" s="47">
        <v>2</v>
      </c>
      <c r="E194" s="47" t="s">
        <v>489</v>
      </c>
      <c r="F194" s="47" t="s">
        <v>421</v>
      </c>
      <c r="G194" s="47">
        <v>1</v>
      </c>
      <c r="H194" s="90" t="s">
        <v>608</v>
      </c>
      <c r="I194" s="45">
        <v>3</v>
      </c>
      <c r="J194" s="47" t="s">
        <v>458</v>
      </c>
      <c r="N194" t="s">
        <v>90</v>
      </c>
      <c r="O194" t="s">
        <v>90</v>
      </c>
      <c r="P194" t="s">
        <v>90</v>
      </c>
      <c r="Q194" t="s">
        <v>90</v>
      </c>
      <c r="R194" t="s">
        <v>90</v>
      </c>
      <c r="S194" t="s">
        <v>90</v>
      </c>
      <c r="T194" t="s">
        <v>90</v>
      </c>
      <c r="U194" t="s">
        <v>90</v>
      </c>
      <c r="V194" t="s">
        <v>90</v>
      </c>
    </row>
    <row r="195" spans="1:22" ht="20">
      <c r="A195" s="46">
        <v>37220</v>
      </c>
      <c r="B195" s="45" t="s">
        <v>723</v>
      </c>
      <c r="C195" s="45" t="s">
        <v>90</v>
      </c>
      <c r="D195" s="47">
        <v>2</v>
      </c>
      <c r="E195" s="47" t="s">
        <v>467</v>
      </c>
      <c r="F195" s="47" t="s">
        <v>417</v>
      </c>
      <c r="G195" s="47">
        <v>1</v>
      </c>
      <c r="H195" s="90" t="s">
        <v>609</v>
      </c>
      <c r="I195" s="45">
        <v>4</v>
      </c>
      <c r="J195" s="47" t="s">
        <v>458</v>
      </c>
      <c r="N195" t="s">
        <v>90</v>
      </c>
      <c r="O195" t="s">
        <v>90</v>
      </c>
      <c r="P195" t="s">
        <v>90</v>
      </c>
      <c r="Q195" t="s">
        <v>90</v>
      </c>
      <c r="R195" t="s">
        <v>90</v>
      </c>
      <c r="S195" t="s">
        <v>90</v>
      </c>
      <c r="T195" t="s">
        <v>90</v>
      </c>
      <c r="U195" t="s">
        <v>90</v>
      </c>
      <c r="V195" t="s">
        <v>90</v>
      </c>
    </row>
    <row r="196" spans="1:22" ht="20">
      <c r="A196" s="46">
        <v>37221</v>
      </c>
      <c r="B196" s="45" t="s">
        <v>724</v>
      </c>
      <c r="C196" s="45" t="s">
        <v>90</v>
      </c>
      <c r="D196" s="47">
        <v>2</v>
      </c>
      <c r="E196" s="47" t="s">
        <v>469</v>
      </c>
      <c r="F196" s="47" t="s">
        <v>420</v>
      </c>
      <c r="G196" s="47">
        <v>3</v>
      </c>
      <c r="H196" s="90" t="s">
        <v>610</v>
      </c>
      <c r="I196" s="45">
        <v>2</v>
      </c>
      <c r="J196" s="47" t="s">
        <v>458</v>
      </c>
      <c r="N196" t="s">
        <v>90</v>
      </c>
      <c r="O196" t="s">
        <v>90</v>
      </c>
      <c r="P196" t="s">
        <v>90</v>
      </c>
      <c r="Q196" t="s">
        <v>90</v>
      </c>
      <c r="R196" t="s">
        <v>90</v>
      </c>
      <c r="S196" t="s">
        <v>90</v>
      </c>
      <c r="T196" t="s">
        <v>90</v>
      </c>
      <c r="U196" t="s">
        <v>90</v>
      </c>
      <c r="V196" t="s">
        <v>90</v>
      </c>
    </row>
    <row r="197" spans="1:22" ht="20">
      <c r="A197" s="46">
        <v>37222</v>
      </c>
      <c r="B197" s="45" t="s">
        <v>725</v>
      </c>
      <c r="C197" s="45" t="s">
        <v>90</v>
      </c>
      <c r="D197" s="47">
        <v>2</v>
      </c>
      <c r="E197" s="47" t="s">
        <v>434</v>
      </c>
      <c r="F197" s="47" t="s">
        <v>421</v>
      </c>
      <c r="G197" s="47">
        <v>1</v>
      </c>
      <c r="H197" s="90" t="s">
        <v>611</v>
      </c>
      <c r="I197" s="45">
        <v>3</v>
      </c>
      <c r="J197" s="47" t="s">
        <v>458</v>
      </c>
      <c r="N197" t="s">
        <v>90</v>
      </c>
      <c r="O197" t="s">
        <v>90</v>
      </c>
      <c r="P197" t="s">
        <v>90</v>
      </c>
      <c r="Q197" t="s">
        <v>90</v>
      </c>
      <c r="R197" t="s">
        <v>90</v>
      </c>
      <c r="S197" t="s">
        <v>90</v>
      </c>
      <c r="T197" t="s">
        <v>90</v>
      </c>
      <c r="U197" t="s">
        <v>90</v>
      </c>
      <c r="V197" t="s">
        <v>90</v>
      </c>
    </row>
    <row r="198" spans="1:22" ht="20">
      <c r="A198" s="46">
        <v>37223</v>
      </c>
      <c r="B198" s="45" t="s">
        <v>726</v>
      </c>
      <c r="C198" s="45" t="s">
        <v>90</v>
      </c>
      <c r="D198" s="47">
        <v>2</v>
      </c>
      <c r="E198" s="47" t="s">
        <v>461</v>
      </c>
      <c r="F198" s="47" t="s">
        <v>421</v>
      </c>
      <c r="G198" s="47">
        <v>1</v>
      </c>
      <c r="H198" s="90" t="s">
        <v>612</v>
      </c>
      <c r="I198" s="45">
        <v>3</v>
      </c>
      <c r="J198" s="47" t="s">
        <v>458</v>
      </c>
      <c r="N198" t="s">
        <v>90</v>
      </c>
      <c r="O198" t="s">
        <v>90</v>
      </c>
      <c r="P198" t="s">
        <v>90</v>
      </c>
      <c r="Q198" t="s">
        <v>90</v>
      </c>
      <c r="R198" t="s">
        <v>90</v>
      </c>
      <c r="S198" t="s">
        <v>90</v>
      </c>
      <c r="T198" t="s">
        <v>90</v>
      </c>
      <c r="U198" t="s">
        <v>90</v>
      </c>
      <c r="V198" t="s">
        <v>90</v>
      </c>
    </row>
    <row r="199" spans="1:22" ht="20">
      <c r="A199" s="46">
        <v>37224</v>
      </c>
      <c r="B199" s="45" t="s">
        <v>727</v>
      </c>
      <c r="C199" s="45" t="s">
        <v>90</v>
      </c>
      <c r="D199" s="47">
        <v>2</v>
      </c>
      <c r="E199" s="47" t="s">
        <v>467</v>
      </c>
      <c r="F199" s="47" t="s">
        <v>445</v>
      </c>
      <c r="G199" s="47">
        <v>3</v>
      </c>
      <c r="H199" s="90" t="s">
        <v>613</v>
      </c>
      <c r="I199" s="45">
        <v>4</v>
      </c>
      <c r="J199" s="47" t="s">
        <v>458</v>
      </c>
      <c r="N199" t="s">
        <v>90</v>
      </c>
      <c r="O199" t="s">
        <v>90</v>
      </c>
      <c r="P199" t="s">
        <v>90</v>
      </c>
      <c r="Q199" t="s">
        <v>90</v>
      </c>
      <c r="R199" t="s">
        <v>90</v>
      </c>
      <c r="S199" t="s">
        <v>90</v>
      </c>
      <c r="T199" t="s">
        <v>90</v>
      </c>
      <c r="U199" t="s">
        <v>90</v>
      </c>
      <c r="V199" t="s">
        <v>90</v>
      </c>
    </row>
    <row r="200" spans="1:22" ht="20">
      <c r="A200" s="54">
        <v>37225</v>
      </c>
      <c r="B200" s="55" t="s">
        <v>728</v>
      </c>
      <c r="C200" s="55" t="s">
        <v>90</v>
      </c>
      <c r="D200" s="56">
        <v>2</v>
      </c>
      <c r="E200" s="56" t="s">
        <v>490</v>
      </c>
      <c r="F200" s="56" t="s">
        <v>435</v>
      </c>
      <c r="G200" s="56">
        <v>3</v>
      </c>
      <c r="H200" s="90" t="s">
        <v>614</v>
      </c>
      <c r="I200" s="55">
        <v>2</v>
      </c>
      <c r="J200" s="56" t="s">
        <v>458</v>
      </c>
      <c r="N200" t="s">
        <v>90</v>
      </c>
      <c r="O200" t="s">
        <v>90</v>
      </c>
      <c r="P200" t="s">
        <v>90</v>
      </c>
      <c r="Q200" t="s">
        <v>90</v>
      </c>
      <c r="R200" t="s">
        <v>90</v>
      </c>
      <c r="S200" t="s">
        <v>90</v>
      </c>
      <c r="T200" t="s">
        <v>90</v>
      </c>
      <c r="U200" t="s">
        <v>90</v>
      </c>
      <c r="V200" t="s">
        <v>90</v>
      </c>
    </row>
    <row r="201" spans="1:22" ht="20">
      <c r="A201" s="54">
        <v>37226</v>
      </c>
      <c r="B201" s="55" t="s">
        <v>729</v>
      </c>
      <c r="C201" s="55" t="s">
        <v>90</v>
      </c>
      <c r="D201" s="56">
        <v>2</v>
      </c>
      <c r="E201" s="56" t="s">
        <v>434</v>
      </c>
      <c r="F201" s="56" t="s">
        <v>414</v>
      </c>
      <c r="G201" s="56">
        <v>3</v>
      </c>
      <c r="H201" s="90" t="s">
        <v>615</v>
      </c>
      <c r="I201" s="55">
        <v>3</v>
      </c>
      <c r="J201" s="56" t="s">
        <v>458</v>
      </c>
      <c r="N201" t="s">
        <v>90</v>
      </c>
      <c r="O201" t="s">
        <v>90</v>
      </c>
      <c r="P201" t="s">
        <v>90</v>
      </c>
      <c r="Q201" t="s">
        <v>90</v>
      </c>
      <c r="R201" t="s">
        <v>90</v>
      </c>
      <c r="S201" t="s">
        <v>90</v>
      </c>
      <c r="T201" t="s">
        <v>90</v>
      </c>
      <c r="U201" t="s">
        <v>90</v>
      </c>
      <c r="V201" t="s">
        <v>90</v>
      </c>
    </row>
    <row r="202" spans="1:22" ht="20">
      <c r="A202" s="54">
        <v>37227</v>
      </c>
      <c r="B202" s="55" t="s">
        <v>730</v>
      </c>
      <c r="C202" s="55" t="s">
        <v>90</v>
      </c>
      <c r="D202" s="56">
        <v>2</v>
      </c>
      <c r="E202" s="56" t="s">
        <v>489</v>
      </c>
      <c r="F202" s="56" t="s">
        <v>414</v>
      </c>
      <c r="G202" s="56">
        <v>3</v>
      </c>
      <c r="H202" s="90" t="s">
        <v>616</v>
      </c>
      <c r="I202" s="55">
        <v>3</v>
      </c>
      <c r="J202" s="56" t="s">
        <v>458</v>
      </c>
      <c r="N202" t="s">
        <v>90</v>
      </c>
      <c r="O202" t="s">
        <v>90</v>
      </c>
      <c r="P202" t="s">
        <v>90</v>
      </c>
      <c r="Q202" t="s">
        <v>90</v>
      </c>
      <c r="R202" t="s">
        <v>90</v>
      </c>
      <c r="S202" t="s">
        <v>90</v>
      </c>
      <c r="T202" t="s">
        <v>90</v>
      </c>
      <c r="U202" t="s">
        <v>90</v>
      </c>
      <c r="V202" t="s">
        <v>90</v>
      </c>
    </row>
    <row r="203" spans="1:22" ht="20">
      <c r="A203" s="54">
        <v>37228</v>
      </c>
      <c r="B203" s="55" t="s">
        <v>731</v>
      </c>
      <c r="C203" s="55" t="s">
        <v>90</v>
      </c>
      <c r="D203" s="56">
        <v>2</v>
      </c>
      <c r="E203" s="56" t="s">
        <v>434</v>
      </c>
      <c r="F203" s="56" t="s">
        <v>445</v>
      </c>
      <c r="G203" s="56">
        <v>1</v>
      </c>
      <c r="H203" s="90" t="s">
        <v>617</v>
      </c>
      <c r="I203" s="55">
        <v>4</v>
      </c>
      <c r="J203" s="56" t="s">
        <v>458</v>
      </c>
      <c r="N203" t="s">
        <v>90</v>
      </c>
      <c r="O203" t="s">
        <v>90</v>
      </c>
      <c r="P203" t="s">
        <v>90</v>
      </c>
      <c r="Q203" t="s">
        <v>90</v>
      </c>
      <c r="R203" t="s">
        <v>90</v>
      </c>
      <c r="S203" t="s">
        <v>90</v>
      </c>
      <c r="T203" t="s">
        <v>90</v>
      </c>
      <c r="U203" t="s">
        <v>90</v>
      </c>
      <c r="V203" t="s">
        <v>90</v>
      </c>
    </row>
    <row r="204" spans="1:22" ht="20">
      <c r="A204" s="46">
        <v>37229</v>
      </c>
      <c r="B204" s="92" t="s">
        <v>1127</v>
      </c>
      <c r="C204" s="15"/>
      <c r="D204" s="47">
        <v>2</v>
      </c>
      <c r="E204" s="47" t="s">
        <v>47</v>
      </c>
      <c r="F204" s="47" t="s">
        <v>421</v>
      </c>
      <c r="G204" s="47">
        <v>3</v>
      </c>
      <c r="H204" s="90" t="s">
        <v>618</v>
      </c>
      <c r="I204" s="45">
        <v>2</v>
      </c>
      <c r="J204" s="47" t="s">
        <v>458</v>
      </c>
      <c r="N204" t="s">
        <v>90</v>
      </c>
      <c r="O204" t="s">
        <v>256</v>
      </c>
      <c r="P204" t="s">
        <v>90</v>
      </c>
      <c r="Q204" t="s">
        <v>90</v>
      </c>
      <c r="R204" t="s">
        <v>90</v>
      </c>
      <c r="S204" t="s">
        <v>90</v>
      </c>
      <c r="T204" t="s">
        <v>90</v>
      </c>
      <c r="U204" t="s">
        <v>90</v>
      </c>
      <c r="V204" t="s">
        <v>90</v>
      </c>
    </row>
    <row r="205" spans="1:22" ht="20">
      <c r="A205" s="46">
        <v>37230</v>
      </c>
      <c r="B205" s="92" t="s">
        <v>1128</v>
      </c>
      <c r="C205" s="15"/>
      <c r="D205" s="47">
        <v>2</v>
      </c>
      <c r="E205" s="47" t="s">
        <v>69</v>
      </c>
      <c r="F205" s="47" t="s">
        <v>414</v>
      </c>
      <c r="G205" s="47">
        <v>3</v>
      </c>
      <c r="H205" s="90" t="s">
        <v>619</v>
      </c>
      <c r="I205" s="45">
        <v>3</v>
      </c>
      <c r="J205" s="47" t="s">
        <v>458</v>
      </c>
      <c r="N205" t="s">
        <v>90</v>
      </c>
      <c r="O205" t="s">
        <v>256</v>
      </c>
      <c r="P205" t="s">
        <v>90</v>
      </c>
      <c r="Q205" t="s">
        <v>90</v>
      </c>
      <c r="R205" t="s">
        <v>90</v>
      </c>
      <c r="S205" t="s">
        <v>90</v>
      </c>
      <c r="T205" t="s">
        <v>90</v>
      </c>
      <c r="U205" t="s">
        <v>90</v>
      </c>
      <c r="V205" t="s">
        <v>90</v>
      </c>
    </row>
    <row r="206" spans="1:22" ht="20">
      <c r="A206" s="46">
        <v>37231</v>
      </c>
      <c r="B206" s="92" t="s">
        <v>1129</v>
      </c>
      <c r="C206" s="15"/>
      <c r="D206" s="47">
        <v>2</v>
      </c>
      <c r="E206" s="47" t="s">
        <v>47</v>
      </c>
      <c r="F206" s="47" t="s">
        <v>414</v>
      </c>
      <c r="G206" s="47">
        <v>3</v>
      </c>
      <c r="H206" s="90" t="s">
        <v>609</v>
      </c>
      <c r="I206" s="45">
        <v>3</v>
      </c>
      <c r="J206" s="47" t="s">
        <v>458</v>
      </c>
      <c r="N206" t="s">
        <v>90</v>
      </c>
      <c r="O206" t="s">
        <v>256</v>
      </c>
      <c r="P206" t="s">
        <v>90</v>
      </c>
      <c r="Q206" t="s">
        <v>90</v>
      </c>
      <c r="R206" t="s">
        <v>90</v>
      </c>
      <c r="S206" t="s">
        <v>90</v>
      </c>
      <c r="T206" t="s">
        <v>90</v>
      </c>
      <c r="U206" t="s">
        <v>90</v>
      </c>
      <c r="V206" t="s">
        <v>90</v>
      </c>
    </row>
    <row r="207" spans="1:22" ht="20">
      <c r="A207" s="46">
        <v>37232</v>
      </c>
      <c r="B207" s="92" t="s">
        <v>1130</v>
      </c>
      <c r="C207" s="15"/>
      <c r="D207" s="47">
        <v>2</v>
      </c>
      <c r="E207" s="47" t="s">
        <v>480</v>
      </c>
      <c r="F207" s="47" t="s">
        <v>414</v>
      </c>
      <c r="G207" s="47">
        <v>1</v>
      </c>
      <c r="H207" s="90" t="s">
        <v>572</v>
      </c>
      <c r="I207" s="45">
        <v>4</v>
      </c>
      <c r="J207" s="47" t="s">
        <v>458</v>
      </c>
      <c r="N207" t="s">
        <v>90</v>
      </c>
      <c r="O207" t="s">
        <v>256</v>
      </c>
      <c r="P207" t="s">
        <v>90</v>
      </c>
      <c r="Q207" t="s">
        <v>90</v>
      </c>
      <c r="R207" t="s">
        <v>90</v>
      </c>
      <c r="S207" t="s">
        <v>90</v>
      </c>
      <c r="T207" t="s">
        <v>90</v>
      </c>
      <c r="U207" t="s">
        <v>90</v>
      </c>
      <c r="V207" t="s">
        <v>90</v>
      </c>
    </row>
    <row r="208" spans="1:22" ht="20">
      <c r="A208" s="57">
        <v>37234</v>
      </c>
      <c r="B208" s="45" t="s">
        <v>691</v>
      </c>
      <c r="C208" s="45"/>
      <c r="D208" s="47">
        <v>2</v>
      </c>
      <c r="E208" s="47" t="s">
        <v>69</v>
      </c>
      <c r="F208" s="47" t="s">
        <v>48</v>
      </c>
      <c r="G208" s="47">
        <v>3</v>
      </c>
      <c r="H208" s="90" t="s">
        <v>574</v>
      </c>
      <c r="I208" s="45">
        <v>1</v>
      </c>
      <c r="J208" s="47" t="s">
        <v>203</v>
      </c>
      <c r="N208" t="s">
        <v>90</v>
      </c>
      <c r="O208" t="s">
        <v>90</v>
      </c>
      <c r="P208" t="s">
        <v>256</v>
      </c>
      <c r="Q208" t="s">
        <v>256</v>
      </c>
      <c r="R208" t="s">
        <v>90</v>
      </c>
      <c r="S208" t="s">
        <v>90</v>
      </c>
      <c r="T208" t="s">
        <v>90</v>
      </c>
      <c r="U208" t="s">
        <v>90</v>
      </c>
      <c r="V208" t="s">
        <v>90</v>
      </c>
    </row>
    <row r="209" spans="1:22" ht="20">
      <c r="A209" s="57">
        <v>37237</v>
      </c>
      <c r="B209" s="45" t="s">
        <v>732</v>
      </c>
      <c r="C209" s="45"/>
      <c r="D209" s="47">
        <v>2</v>
      </c>
      <c r="E209" s="47" t="s">
        <v>47</v>
      </c>
      <c r="F209" s="47" t="s">
        <v>92</v>
      </c>
      <c r="G209" s="47">
        <v>2</v>
      </c>
      <c r="H209" s="90" t="s">
        <v>577</v>
      </c>
      <c r="I209" s="45">
        <v>1</v>
      </c>
      <c r="J209" s="47" t="s">
        <v>203</v>
      </c>
      <c r="N209" t="s">
        <v>90</v>
      </c>
      <c r="O209" t="s">
        <v>90</v>
      </c>
      <c r="P209" t="s">
        <v>256</v>
      </c>
      <c r="Q209" t="s">
        <v>256</v>
      </c>
      <c r="R209" t="s">
        <v>90</v>
      </c>
      <c r="S209" t="s">
        <v>90</v>
      </c>
      <c r="T209" t="s">
        <v>90</v>
      </c>
      <c r="U209" t="s">
        <v>90</v>
      </c>
      <c r="V209" t="s">
        <v>90</v>
      </c>
    </row>
    <row r="210" spans="1:22" ht="20">
      <c r="A210" s="57">
        <v>37240</v>
      </c>
      <c r="B210" s="45" t="s">
        <v>733</v>
      </c>
      <c r="C210" s="45"/>
      <c r="D210" s="47">
        <v>2</v>
      </c>
      <c r="E210" s="47" t="s">
        <v>475</v>
      </c>
      <c r="F210" s="47" t="s">
        <v>479</v>
      </c>
      <c r="G210" s="47">
        <v>2</v>
      </c>
      <c r="H210" s="90" t="s">
        <v>580</v>
      </c>
      <c r="I210" s="45">
        <v>1</v>
      </c>
      <c r="J210" s="47" t="s">
        <v>203</v>
      </c>
      <c r="N210" t="s">
        <v>90</v>
      </c>
      <c r="O210" t="s">
        <v>90</v>
      </c>
      <c r="P210" t="s">
        <v>256</v>
      </c>
      <c r="Q210" t="s">
        <v>256</v>
      </c>
      <c r="R210" t="s">
        <v>90</v>
      </c>
      <c r="S210" t="s">
        <v>90</v>
      </c>
      <c r="T210" t="s">
        <v>90</v>
      </c>
      <c r="U210" t="s">
        <v>90</v>
      </c>
      <c r="V210" t="s">
        <v>90</v>
      </c>
    </row>
    <row r="211" spans="1:22" ht="20">
      <c r="A211" s="57">
        <v>37242</v>
      </c>
      <c r="B211" s="45" t="s">
        <v>734</v>
      </c>
      <c r="C211" s="45"/>
      <c r="D211" s="47">
        <v>2</v>
      </c>
      <c r="E211" s="47" t="s">
        <v>413</v>
      </c>
      <c r="F211" s="47" t="s">
        <v>414</v>
      </c>
      <c r="G211" s="47">
        <v>3</v>
      </c>
      <c r="H211" s="90" t="s">
        <v>582</v>
      </c>
      <c r="I211" s="45">
        <v>2</v>
      </c>
      <c r="J211" s="47" t="s">
        <v>203</v>
      </c>
      <c r="N211" t="s">
        <v>90</v>
      </c>
      <c r="O211" t="s">
        <v>90</v>
      </c>
      <c r="P211" t="s">
        <v>90</v>
      </c>
      <c r="Q211" t="s">
        <v>256</v>
      </c>
      <c r="R211" t="s">
        <v>90</v>
      </c>
      <c r="S211" t="s">
        <v>90</v>
      </c>
      <c r="T211" t="s">
        <v>90</v>
      </c>
      <c r="U211" t="s">
        <v>90</v>
      </c>
      <c r="V211" t="s">
        <v>90</v>
      </c>
    </row>
    <row r="212" spans="1:22" ht="20">
      <c r="A212" s="57">
        <v>38106</v>
      </c>
      <c r="B212" s="45" t="s">
        <v>735</v>
      </c>
      <c r="C212" s="45"/>
      <c r="D212" s="47">
        <v>2</v>
      </c>
      <c r="E212" s="47" t="s">
        <v>434</v>
      </c>
      <c r="F212" s="47" t="s">
        <v>418</v>
      </c>
      <c r="G212" s="47">
        <v>2</v>
      </c>
      <c r="H212" s="90" t="s">
        <v>586</v>
      </c>
      <c r="I212" s="48">
        <v>2</v>
      </c>
      <c r="J212" s="47" t="s">
        <v>203</v>
      </c>
      <c r="N212" t="s">
        <v>90</v>
      </c>
      <c r="O212" t="s">
        <v>90</v>
      </c>
      <c r="P212" t="s">
        <v>90</v>
      </c>
      <c r="Q212" t="s">
        <v>90</v>
      </c>
      <c r="R212" t="s">
        <v>90</v>
      </c>
      <c r="S212" t="s">
        <v>90</v>
      </c>
      <c r="T212" t="s">
        <v>90</v>
      </c>
      <c r="U212" t="s">
        <v>90</v>
      </c>
      <c r="V212" t="s">
        <v>90</v>
      </c>
    </row>
    <row r="213" spans="1:22" ht="20">
      <c r="A213" s="57">
        <v>37247</v>
      </c>
      <c r="B213" s="45" t="s">
        <v>736</v>
      </c>
      <c r="C213" s="45"/>
      <c r="D213" s="47">
        <v>2</v>
      </c>
      <c r="E213" s="47" t="s">
        <v>413</v>
      </c>
      <c r="F213" s="47" t="s">
        <v>419</v>
      </c>
      <c r="G213" s="47">
        <v>2</v>
      </c>
      <c r="H213" s="90" t="s">
        <v>590</v>
      </c>
      <c r="I213" s="45">
        <v>2</v>
      </c>
      <c r="J213" s="47" t="s">
        <v>203</v>
      </c>
      <c r="N213" t="s">
        <v>90</v>
      </c>
      <c r="O213" t="s">
        <v>90</v>
      </c>
      <c r="P213" t="s">
        <v>256</v>
      </c>
      <c r="Q213" t="s">
        <v>256</v>
      </c>
      <c r="R213" t="s">
        <v>90</v>
      </c>
      <c r="S213" t="s">
        <v>90</v>
      </c>
      <c r="T213" t="s">
        <v>90</v>
      </c>
      <c r="U213" t="s">
        <v>90</v>
      </c>
      <c r="V213" t="s">
        <v>90</v>
      </c>
    </row>
    <row r="214" spans="1:22" ht="20">
      <c r="A214" s="57">
        <v>38125</v>
      </c>
      <c r="B214" s="45" t="s">
        <v>737</v>
      </c>
      <c r="C214" s="45"/>
      <c r="D214" s="47">
        <v>2</v>
      </c>
      <c r="E214" s="47" t="s">
        <v>413</v>
      </c>
      <c r="F214" s="47" t="s">
        <v>419</v>
      </c>
      <c r="G214" s="47">
        <v>2</v>
      </c>
      <c r="H214" s="90" t="s">
        <v>593</v>
      </c>
      <c r="I214" s="45">
        <v>2</v>
      </c>
      <c r="J214" s="47" t="s">
        <v>203</v>
      </c>
      <c r="N214" t="s">
        <v>90</v>
      </c>
      <c r="O214" t="s">
        <v>90</v>
      </c>
      <c r="P214" t="s">
        <v>90</v>
      </c>
      <c r="Q214" t="s">
        <v>256</v>
      </c>
      <c r="R214" t="s">
        <v>90</v>
      </c>
      <c r="S214" t="s">
        <v>90</v>
      </c>
      <c r="T214" t="s">
        <v>90</v>
      </c>
      <c r="U214" t="s">
        <v>90</v>
      </c>
      <c r="V214" t="s">
        <v>90</v>
      </c>
    </row>
    <row r="215" spans="1:22" ht="20">
      <c r="A215" s="57">
        <v>37250</v>
      </c>
      <c r="B215" s="45" t="s">
        <v>738</v>
      </c>
      <c r="C215" s="45"/>
      <c r="D215" s="47">
        <v>2</v>
      </c>
      <c r="E215" s="47" t="s">
        <v>413</v>
      </c>
      <c r="F215" s="47" t="s">
        <v>433</v>
      </c>
      <c r="G215" s="47">
        <v>2</v>
      </c>
      <c r="H215" s="90" t="s">
        <v>596</v>
      </c>
      <c r="I215" s="45">
        <v>2</v>
      </c>
      <c r="J215" s="47" t="s">
        <v>203</v>
      </c>
      <c r="N215" t="s">
        <v>90</v>
      </c>
      <c r="O215" t="s">
        <v>90</v>
      </c>
      <c r="P215" t="s">
        <v>256</v>
      </c>
      <c r="Q215" t="s">
        <v>256</v>
      </c>
      <c r="R215" t="s">
        <v>90</v>
      </c>
      <c r="S215" t="s">
        <v>90</v>
      </c>
      <c r="T215" t="s">
        <v>90</v>
      </c>
      <c r="U215" t="s">
        <v>90</v>
      </c>
      <c r="V215" t="s">
        <v>90</v>
      </c>
    </row>
    <row r="216" spans="1:22" ht="20">
      <c r="A216" s="57">
        <v>37253</v>
      </c>
      <c r="B216" s="45" t="s">
        <v>739</v>
      </c>
      <c r="C216" s="45"/>
      <c r="D216" s="47">
        <v>2</v>
      </c>
      <c r="E216" s="47" t="s">
        <v>469</v>
      </c>
      <c r="F216" s="47" t="s">
        <v>420</v>
      </c>
      <c r="G216" s="47">
        <v>2</v>
      </c>
      <c r="H216" s="90" t="s">
        <v>599</v>
      </c>
      <c r="I216" s="45">
        <v>2</v>
      </c>
      <c r="J216" s="47" t="s">
        <v>203</v>
      </c>
      <c r="N216" t="s">
        <v>90</v>
      </c>
      <c r="O216" t="s">
        <v>90</v>
      </c>
      <c r="P216" t="s">
        <v>256</v>
      </c>
      <c r="Q216" t="s">
        <v>256</v>
      </c>
      <c r="R216" t="s">
        <v>90</v>
      </c>
      <c r="S216" t="s">
        <v>90</v>
      </c>
      <c r="T216" t="s">
        <v>90</v>
      </c>
      <c r="U216" t="s">
        <v>90</v>
      </c>
      <c r="V216" t="s">
        <v>90</v>
      </c>
    </row>
    <row r="217" spans="1:22" ht="20">
      <c r="A217" s="57">
        <v>37256</v>
      </c>
      <c r="B217" s="45" t="s">
        <v>740</v>
      </c>
      <c r="C217" s="45"/>
      <c r="D217" s="47">
        <v>2</v>
      </c>
      <c r="E217" s="47" t="s">
        <v>434</v>
      </c>
      <c r="F217" s="47" t="s">
        <v>433</v>
      </c>
      <c r="G217" s="47">
        <v>2</v>
      </c>
      <c r="H217" s="90" t="s">
        <v>602</v>
      </c>
      <c r="I217" s="45">
        <v>3</v>
      </c>
      <c r="J217" s="47" t="s">
        <v>203</v>
      </c>
      <c r="N217" t="s">
        <v>90</v>
      </c>
      <c r="O217" t="s">
        <v>90</v>
      </c>
      <c r="P217" t="s">
        <v>90</v>
      </c>
      <c r="Q217" t="s">
        <v>256</v>
      </c>
      <c r="R217" t="s">
        <v>90</v>
      </c>
      <c r="S217" t="s">
        <v>90</v>
      </c>
      <c r="T217" t="s">
        <v>90</v>
      </c>
      <c r="U217" t="s">
        <v>90</v>
      </c>
      <c r="V217" t="s">
        <v>90</v>
      </c>
    </row>
    <row r="218" spans="1:22" ht="45">
      <c r="A218" s="57">
        <v>37259</v>
      </c>
      <c r="B218" s="51" t="s">
        <v>741</v>
      </c>
      <c r="C218" s="45"/>
      <c r="D218" s="47">
        <v>2</v>
      </c>
      <c r="E218" s="47" t="s">
        <v>434</v>
      </c>
      <c r="F218" s="47" t="s">
        <v>418</v>
      </c>
      <c r="G218" s="47">
        <v>2</v>
      </c>
      <c r="H218" s="90" t="s">
        <v>604</v>
      </c>
      <c r="I218" s="45">
        <v>3</v>
      </c>
      <c r="J218" s="47" t="s">
        <v>203</v>
      </c>
      <c r="N218" t="s">
        <v>90</v>
      </c>
      <c r="O218" t="s">
        <v>90</v>
      </c>
      <c r="P218" t="s">
        <v>90</v>
      </c>
      <c r="Q218" t="s">
        <v>256</v>
      </c>
      <c r="R218" t="s">
        <v>90</v>
      </c>
      <c r="S218" t="s">
        <v>90</v>
      </c>
      <c r="T218" t="s">
        <v>90</v>
      </c>
      <c r="U218" t="s">
        <v>90</v>
      </c>
      <c r="V218" t="s">
        <v>90</v>
      </c>
    </row>
    <row r="219" spans="1:22" ht="20">
      <c r="A219" s="57">
        <v>38093</v>
      </c>
      <c r="B219" s="45" t="s">
        <v>742</v>
      </c>
      <c r="C219" s="45"/>
      <c r="D219" s="47">
        <v>2</v>
      </c>
      <c r="E219" s="47" t="s">
        <v>475</v>
      </c>
      <c r="F219" s="47" t="s">
        <v>491</v>
      </c>
      <c r="G219" s="47"/>
      <c r="H219" s="90" t="s">
        <v>606</v>
      </c>
      <c r="I219" s="45">
        <v>3</v>
      </c>
      <c r="J219" s="47" t="s">
        <v>203</v>
      </c>
      <c r="N219" t="s">
        <v>90</v>
      </c>
      <c r="O219" t="s">
        <v>90</v>
      </c>
      <c r="P219" t="s">
        <v>90</v>
      </c>
      <c r="Q219" t="s">
        <v>90</v>
      </c>
      <c r="R219" t="s">
        <v>90</v>
      </c>
      <c r="S219" t="s">
        <v>90</v>
      </c>
      <c r="T219" t="s">
        <v>90</v>
      </c>
      <c r="U219" t="s">
        <v>90</v>
      </c>
      <c r="V219" t="s">
        <v>90</v>
      </c>
    </row>
    <row r="220" spans="1:22" ht="20">
      <c r="A220" s="57">
        <v>38094</v>
      </c>
      <c r="B220" s="45" t="s">
        <v>743</v>
      </c>
      <c r="C220" s="45"/>
      <c r="D220" s="47">
        <v>2</v>
      </c>
      <c r="E220" s="47" t="s">
        <v>492</v>
      </c>
      <c r="F220" s="47" t="s">
        <v>464</v>
      </c>
      <c r="G220" s="47" t="s">
        <v>464</v>
      </c>
      <c r="H220" s="90" t="s">
        <v>607</v>
      </c>
      <c r="I220" s="45">
        <v>3</v>
      </c>
      <c r="J220" s="47" t="s">
        <v>493</v>
      </c>
      <c r="N220" t="s">
        <v>90</v>
      </c>
      <c r="O220" t="s">
        <v>90</v>
      </c>
      <c r="P220" t="s">
        <v>90</v>
      </c>
      <c r="Q220" t="s">
        <v>90</v>
      </c>
      <c r="R220" t="s">
        <v>90</v>
      </c>
      <c r="S220" t="s">
        <v>90</v>
      </c>
      <c r="T220" t="s">
        <v>90</v>
      </c>
      <c r="U220" t="s">
        <v>90</v>
      </c>
      <c r="V220" t="s">
        <v>90</v>
      </c>
    </row>
    <row r="221" spans="1:22" ht="20">
      <c r="A221" s="52">
        <v>38102</v>
      </c>
      <c r="B221" s="55" t="s">
        <v>744</v>
      </c>
      <c r="C221" s="55"/>
      <c r="D221" s="56">
        <v>2</v>
      </c>
      <c r="E221" s="56" t="s">
        <v>494</v>
      </c>
      <c r="F221" s="56" t="s">
        <v>414</v>
      </c>
      <c r="G221" s="58" t="s">
        <v>495</v>
      </c>
      <c r="H221" s="90" t="s">
        <v>608</v>
      </c>
      <c r="I221" s="65">
        <v>1</v>
      </c>
      <c r="J221" s="56" t="s">
        <v>458</v>
      </c>
      <c r="N221" t="s">
        <v>90</v>
      </c>
      <c r="O221" t="s">
        <v>90</v>
      </c>
      <c r="P221" t="s">
        <v>256</v>
      </c>
      <c r="Q221" t="s">
        <v>90</v>
      </c>
      <c r="R221" t="s">
        <v>256</v>
      </c>
      <c r="S221" t="s">
        <v>90</v>
      </c>
      <c r="T221" t="s">
        <v>90</v>
      </c>
      <c r="U221" t="s">
        <v>90</v>
      </c>
      <c r="V221" t="s">
        <v>90</v>
      </c>
    </row>
    <row r="222" spans="1:22" ht="20">
      <c r="A222" s="52">
        <v>38103</v>
      </c>
      <c r="B222" s="55" t="s">
        <v>745</v>
      </c>
      <c r="C222" s="55" t="s">
        <v>90</v>
      </c>
      <c r="D222" s="56">
        <v>2</v>
      </c>
      <c r="E222" s="56" t="s">
        <v>494</v>
      </c>
      <c r="F222" s="56" t="s">
        <v>414</v>
      </c>
      <c r="G222" s="58" t="s">
        <v>495</v>
      </c>
      <c r="H222" s="90" t="s">
        <v>609</v>
      </c>
      <c r="I222" s="65">
        <v>2</v>
      </c>
      <c r="J222" s="56" t="s">
        <v>460</v>
      </c>
      <c r="N222" t="s">
        <v>90</v>
      </c>
      <c r="O222" t="s">
        <v>90</v>
      </c>
      <c r="P222" t="s">
        <v>256</v>
      </c>
      <c r="Q222" t="s">
        <v>90</v>
      </c>
      <c r="R222" t="s">
        <v>256</v>
      </c>
      <c r="S222" t="s">
        <v>90</v>
      </c>
      <c r="T222" t="s">
        <v>90</v>
      </c>
      <c r="U222" t="s">
        <v>90</v>
      </c>
      <c r="V222" t="s">
        <v>90</v>
      </c>
    </row>
    <row r="223" spans="1:22" ht="20">
      <c r="A223" s="57">
        <v>37262</v>
      </c>
      <c r="B223" s="45" t="s">
        <v>746</v>
      </c>
      <c r="C223" s="45"/>
      <c r="D223" s="47">
        <v>1</v>
      </c>
      <c r="E223" s="47"/>
      <c r="F223" s="47" t="s">
        <v>496</v>
      </c>
      <c r="G223" s="47"/>
      <c r="H223" s="90" t="s">
        <v>610</v>
      </c>
      <c r="I223" s="48">
        <v>3</v>
      </c>
      <c r="J223" s="47" t="s">
        <v>460</v>
      </c>
      <c r="N223" t="s">
        <v>90</v>
      </c>
      <c r="O223" t="s">
        <v>90</v>
      </c>
      <c r="P223" t="s">
        <v>256</v>
      </c>
      <c r="Q223" t="s">
        <v>90</v>
      </c>
      <c r="R223" t="s">
        <v>256</v>
      </c>
      <c r="S223" t="s">
        <v>90</v>
      </c>
      <c r="T223" t="s">
        <v>90</v>
      </c>
      <c r="U223" t="s">
        <v>90</v>
      </c>
      <c r="V223" t="s">
        <v>90</v>
      </c>
    </row>
    <row r="224" spans="1:22" ht="20">
      <c r="A224" s="57">
        <v>37263</v>
      </c>
      <c r="B224" s="45" t="s">
        <v>747</v>
      </c>
      <c r="C224" s="45"/>
      <c r="D224" s="47">
        <v>4</v>
      </c>
      <c r="E224" s="47"/>
      <c r="F224" s="47" t="s">
        <v>496</v>
      </c>
      <c r="G224" s="47"/>
      <c r="H224" s="90" t="s">
        <v>611</v>
      </c>
      <c r="I224" s="48">
        <v>3</v>
      </c>
      <c r="J224" s="47" t="s">
        <v>460</v>
      </c>
      <c r="N224" t="s">
        <v>90</v>
      </c>
      <c r="O224" t="s">
        <v>90</v>
      </c>
      <c r="P224" t="s">
        <v>256</v>
      </c>
      <c r="Q224" t="s">
        <v>90</v>
      </c>
      <c r="R224" t="s">
        <v>256</v>
      </c>
      <c r="S224" t="s">
        <v>90</v>
      </c>
      <c r="T224" t="s">
        <v>90</v>
      </c>
      <c r="U224" t="s">
        <v>90</v>
      </c>
      <c r="V224" t="s">
        <v>90</v>
      </c>
    </row>
    <row r="225" spans="1:22" ht="20">
      <c r="A225" s="57">
        <v>37264</v>
      </c>
      <c r="B225" s="45" t="s">
        <v>748</v>
      </c>
      <c r="C225" s="45"/>
      <c r="D225" s="47">
        <v>4</v>
      </c>
      <c r="E225" s="47"/>
      <c r="F225" s="47" t="s">
        <v>496</v>
      </c>
      <c r="G225" s="47"/>
      <c r="H225" s="90" t="s">
        <v>612</v>
      </c>
      <c r="I225" s="48">
        <v>3</v>
      </c>
      <c r="J225" s="47" t="s">
        <v>460</v>
      </c>
      <c r="N225" t="s">
        <v>90</v>
      </c>
      <c r="O225" t="s">
        <v>90</v>
      </c>
      <c r="P225" t="s">
        <v>256</v>
      </c>
      <c r="Q225" t="s">
        <v>90</v>
      </c>
      <c r="R225" t="s">
        <v>256</v>
      </c>
      <c r="S225" t="s">
        <v>90</v>
      </c>
      <c r="T225" t="s">
        <v>90</v>
      </c>
      <c r="U225" t="s">
        <v>90</v>
      </c>
      <c r="V225" t="s">
        <v>90</v>
      </c>
    </row>
    <row r="226" spans="1:22" ht="20">
      <c r="A226" s="57">
        <v>37314</v>
      </c>
      <c r="B226" s="45" t="s">
        <v>749</v>
      </c>
      <c r="C226" s="45"/>
      <c r="D226" s="47">
        <v>2</v>
      </c>
      <c r="E226" s="47" t="s">
        <v>469</v>
      </c>
      <c r="F226" s="47" t="s">
        <v>464</v>
      </c>
      <c r="G226" s="47" t="s">
        <v>464</v>
      </c>
      <c r="H226" s="90" t="s">
        <v>613</v>
      </c>
      <c r="I226" s="48">
        <v>3</v>
      </c>
      <c r="J226" s="47" t="s">
        <v>460</v>
      </c>
      <c r="N226" t="s">
        <v>90</v>
      </c>
      <c r="O226" t="s">
        <v>90</v>
      </c>
      <c r="P226" t="s">
        <v>90</v>
      </c>
      <c r="Q226" t="s">
        <v>90</v>
      </c>
      <c r="R226" t="s">
        <v>256</v>
      </c>
      <c r="S226" t="s">
        <v>90</v>
      </c>
      <c r="T226" t="s">
        <v>90</v>
      </c>
      <c r="U226" t="s">
        <v>90</v>
      </c>
      <c r="V226" t="s">
        <v>90</v>
      </c>
    </row>
    <row r="227" spans="1:22" ht="20">
      <c r="A227" s="57">
        <v>37265</v>
      </c>
      <c r="B227" s="45" t="s">
        <v>750</v>
      </c>
      <c r="C227" s="45" t="s">
        <v>771</v>
      </c>
      <c r="D227" s="47">
        <v>2</v>
      </c>
      <c r="E227" s="47" t="s">
        <v>469</v>
      </c>
      <c r="F227" s="47" t="s">
        <v>474</v>
      </c>
      <c r="G227" s="47"/>
      <c r="H227" s="90" t="s">
        <v>616</v>
      </c>
      <c r="I227" s="48">
        <v>4</v>
      </c>
      <c r="J227" s="47" t="s">
        <v>460</v>
      </c>
      <c r="N227" t="s">
        <v>90</v>
      </c>
      <c r="O227" t="s">
        <v>90</v>
      </c>
      <c r="P227" t="s">
        <v>90</v>
      </c>
      <c r="Q227" t="s">
        <v>256</v>
      </c>
      <c r="R227" t="s">
        <v>90</v>
      </c>
      <c r="S227" t="s">
        <v>90</v>
      </c>
      <c r="T227" t="s">
        <v>256</v>
      </c>
      <c r="U227" t="s">
        <v>90</v>
      </c>
      <c r="V227" t="s">
        <v>90</v>
      </c>
    </row>
    <row r="228" spans="1:22" ht="20">
      <c r="A228" s="57">
        <v>37266</v>
      </c>
      <c r="B228" s="45" t="s">
        <v>750</v>
      </c>
      <c r="C228" s="45" t="s">
        <v>770</v>
      </c>
      <c r="D228" s="47">
        <v>2</v>
      </c>
      <c r="E228" s="47" t="s">
        <v>469</v>
      </c>
      <c r="F228" s="47" t="s">
        <v>474</v>
      </c>
      <c r="G228" s="47"/>
      <c r="H228" s="90" t="s">
        <v>617</v>
      </c>
      <c r="I228" s="48">
        <v>4</v>
      </c>
      <c r="J228" s="47" t="s">
        <v>460</v>
      </c>
      <c r="N228" t="s">
        <v>90</v>
      </c>
      <c r="O228" t="s">
        <v>90</v>
      </c>
      <c r="P228" t="s">
        <v>90</v>
      </c>
      <c r="Q228" t="s">
        <v>256</v>
      </c>
      <c r="R228" t="s">
        <v>90</v>
      </c>
      <c r="S228" t="s">
        <v>90</v>
      </c>
      <c r="T228" t="s">
        <v>90</v>
      </c>
      <c r="U228" t="s">
        <v>90</v>
      </c>
      <c r="V228" t="s">
        <v>90</v>
      </c>
    </row>
    <row r="229" spans="1:22" ht="20">
      <c r="A229" s="57">
        <v>37267</v>
      </c>
      <c r="B229" s="45" t="s">
        <v>750</v>
      </c>
      <c r="C229" s="45" t="s">
        <v>769</v>
      </c>
      <c r="D229" s="47">
        <v>2</v>
      </c>
      <c r="E229" s="47" t="s">
        <v>469</v>
      </c>
      <c r="F229" s="47" t="s">
        <v>414</v>
      </c>
      <c r="G229" s="47">
        <v>2</v>
      </c>
      <c r="H229" s="90" t="s">
        <v>618</v>
      </c>
      <c r="I229" s="48">
        <v>4</v>
      </c>
      <c r="J229" s="47" t="s">
        <v>460</v>
      </c>
      <c r="N229" t="s">
        <v>90</v>
      </c>
      <c r="O229" t="s">
        <v>90</v>
      </c>
      <c r="P229" t="s">
        <v>90</v>
      </c>
      <c r="Q229" t="s">
        <v>256</v>
      </c>
      <c r="R229" t="s">
        <v>90</v>
      </c>
      <c r="S229" t="s">
        <v>90</v>
      </c>
      <c r="T229" t="s">
        <v>90</v>
      </c>
      <c r="U229" t="s">
        <v>90</v>
      </c>
      <c r="V229" t="s">
        <v>90</v>
      </c>
    </row>
    <row r="230" spans="1:22" ht="20">
      <c r="A230" s="57">
        <v>37268</v>
      </c>
      <c r="B230" s="45" t="s">
        <v>750</v>
      </c>
      <c r="C230" s="45" t="s">
        <v>734</v>
      </c>
      <c r="D230" s="47">
        <v>2</v>
      </c>
      <c r="E230" s="47" t="s">
        <v>469</v>
      </c>
      <c r="F230" s="47" t="s">
        <v>435</v>
      </c>
      <c r="G230" s="47">
        <v>2</v>
      </c>
      <c r="H230" s="90" t="s">
        <v>619</v>
      </c>
      <c r="I230" s="48">
        <v>4</v>
      </c>
      <c r="J230" s="47" t="s">
        <v>460</v>
      </c>
      <c r="N230" t="s">
        <v>90</v>
      </c>
      <c r="O230" t="s">
        <v>90</v>
      </c>
      <c r="P230" t="s">
        <v>90</v>
      </c>
      <c r="Q230" t="s">
        <v>256</v>
      </c>
      <c r="R230" t="s">
        <v>90</v>
      </c>
      <c r="S230" t="s">
        <v>90</v>
      </c>
      <c r="T230" t="s">
        <v>90</v>
      </c>
      <c r="U230" t="s">
        <v>90</v>
      </c>
      <c r="V230" t="s">
        <v>90</v>
      </c>
    </row>
    <row r="231" spans="1:22" ht="20">
      <c r="A231" s="57">
        <v>37269</v>
      </c>
      <c r="B231" s="45" t="s">
        <v>750</v>
      </c>
      <c r="C231" s="45" t="s">
        <v>768</v>
      </c>
      <c r="D231" s="47">
        <v>2</v>
      </c>
      <c r="E231" s="47" t="s">
        <v>469</v>
      </c>
      <c r="F231" s="47" t="s">
        <v>421</v>
      </c>
      <c r="G231" s="47">
        <v>2</v>
      </c>
      <c r="H231" s="90" t="s">
        <v>609</v>
      </c>
      <c r="I231" s="48">
        <v>4</v>
      </c>
      <c r="J231" s="47" t="s">
        <v>460</v>
      </c>
      <c r="N231" t="s">
        <v>90</v>
      </c>
      <c r="O231" t="s">
        <v>90</v>
      </c>
      <c r="P231" t="s">
        <v>90</v>
      </c>
      <c r="Q231" t="s">
        <v>256</v>
      </c>
      <c r="R231" t="s">
        <v>90</v>
      </c>
      <c r="S231" t="s">
        <v>90</v>
      </c>
      <c r="T231" t="s">
        <v>90</v>
      </c>
      <c r="U231" t="s">
        <v>90</v>
      </c>
      <c r="V231" t="s">
        <v>90</v>
      </c>
    </row>
    <row r="232" spans="1:22" ht="20">
      <c r="A232" s="57">
        <v>37270</v>
      </c>
      <c r="B232" s="45" t="s">
        <v>750</v>
      </c>
      <c r="C232" s="45" t="s">
        <v>767</v>
      </c>
      <c r="D232" s="47">
        <v>2</v>
      </c>
      <c r="E232" s="47" t="s">
        <v>469</v>
      </c>
      <c r="F232" s="47" t="s">
        <v>48</v>
      </c>
      <c r="G232" s="47">
        <v>2</v>
      </c>
      <c r="H232" s="90" t="s">
        <v>572</v>
      </c>
      <c r="I232" s="48">
        <v>4</v>
      </c>
      <c r="J232" s="47" t="s">
        <v>460</v>
      </c>
      <c r="N232" t="s">
        <v>90</v>
      </c>
      <c r="O232" t="s">
        <v>256</v>
      </c>
      <c r="P232" t="s">
        <v>90</v>
      </c>
      <c r="Q232" t="s">
        <v>256</v>
      </c>
      <c r="R232" t="s">
        <v>90</v>
      </c>
      <c r="S232" t="s">
        <v>90</v>
      </c>
      <c r="T232" t="s">
        <v>90</v>
      </c>
      <c r="U232" t="s">
        <v>90</v>
      </c>
      <c r="V232" t="s">
        <v>90</v>
      </c>
    </row>
    <row r="233" spans="1:22" ht="20">
      <c r="A233" s="57">
        <v>37271</v>
      </c>
      <c r="B233" s="45" t="s">
        <v>750</v>
      </c>
      <c r="C233" s="45" t="s">
        <v>766</v>
      </c>
      <c r="D233" s="47">
        <v>2</v>
      </c>
      <c r="E233" s="47" t="s">
        <v>469</v>
      </c>
      <c r="F233" s="47" t="s">
        <v>48</v>
      </c>
      <c r="G233" s="47">
        <v>2</v>
      </c>
      <c r="H233" s="90" t="s">
        <v>573</v>
      </c>
      <c r="I233" s="48">
        <v>4</v>
      </c>
      <c r="J233" s="47" t="s">
        <v>460</v>
      </c>
      <c r="N233" t="s">
        <v>90</v>
      </c>
      <c r="O233" t="s">
        <v>90</v>
      </c>
      <c r="P233" t="s">
        <v>90</v>
      </c>
      <c r="Q233" t="s">
        <v>256</v>
      </c>
      <c r="R233" t="s">
        <v>90</v>
      </c>
      <c r="S233" t="s">
        <v>90</v>
      </c>
      <c r="T233" t="s">
        <v>90</v>
      </c>
      <c r="U233" t="s">
        <v>90</v>
      </c>
      <c r="V233" t="s">
        <v>90</v>
      </c>
    </row>
    <row r="234" spans="1:22" ht="20">
      <c r="A234" s="52">
        <v>37272</v>
      </c>
      <c r="B234" s="55" t="s">
        <v>750</v>
      </c>
      <c r="C234" s="55" t="s">
        <v>765</v>
      </c>
      <c r="D234" s="56">
        <v>2</v>
      </c>
      <c r="E234" s="56" t="s">
        <v>469</v>
      </c>
      <c r="F234" s="56" t="s">
        <v>48</v>
      </c>
      <c r="G234" s="56">
        <v>2</v>
      </c>
      <c r="H234" s="90" t="s">
        <v>574</v>
      </c>
      <c r="I234" s="65">
        <v>4</v>
      </c>
      <c r="J234" s="56" t="s">
        <v>460</v>
      </c>
      <c r="N234" t="s">
        <v>90</v>
      </c>
      <c r="O234" t="s">
        <v>90</v>
      </c>
      <c r="P234" t="s">
        <v>90</v>
      </c>
      <c r="Q234" t="s">
        <v>256</v>
      </c>
      <c r="R234" t="s">
        <v>90</v>
      </c>
      <c r="S234" t="s">
        <v>90</v>
      </c>
      <c r="T234" t="s">
        <v>90</v>
      </c>
      <c r="U234" t="s">
        <v>90</v>
      </c>
      <c r="V234" t="s">
        <v>90</v>
      </c>
    </row>
    <row r="235" spans="1:22" ht="20">
      <c r="A235" s="52">
        <v>37273</v>
      </c>
      <c r="B235" s="55" t="s">
        <v>750</v>
      </c>
      <c r="C235" s="55" t="s">
        <v>764</v>
      </c>
      <c r="D235" s="56">
        <v>2</v>
      </c>
      <c r="E235" s="56" t="s">
        <v>469</v>
      </c>
      <c r="F235" s="56" t="s">
        <v>48</v>
      </c>
      <c r="G235" s="56">
        <v>2</v>
      </c>
      <c r="H235" s="90" t="s">
        <v>575</v>
      </c>
      <c r="I235" s="65">
        <v>4</v>
      </c>
      <c r="J235" s="56" t="s">
        <v>460</v>
      </c>
      <c r="N235" t="s">
        <v>90</v>
      </c>
      <c r="O235" t="s">
        <v>90</v>
      </c>
      <c r="P235" t="s">
        <v>90</v>
      </c>
      <c r="Q235" t="s">
        <v>256</v>
      </c>
      <c r="R235" t="s">
        <v>90</v>
      </c>
      <c r="S235" t="s">
        <v>90</v>
      </c>
      <c r="T235" t="s">
        <v>90</v>
      </c>
      <c r="U235" t="s">
        <v>90</v>
      </c>
      <c r="V235" t="s">
        <v>90</v>
      </c>
    </row>
    <row r="236" spans="1:22" ht="20">
      <c r="A236" s="57">
        <v>37280</v>
      </c>
      <c r="B236" s="45" t="s">
        <v>751</v>
      </c>
      <c r="C236" s="45"/>
      <c r="D236" s="47">
        <v>2</v>
      </c>
      <c r="E236" s="47"/>
      <c r="F236" s="47" t="s">
        <v>496</v>
      </c>
      <c r="G236" s="47"/>
      <c r="H236" s="90" t="s">
        <v>583</v>
      </c>
      <c r="I236" s="48">
        <v>4</v>
      </c>
      <c r="J236" s="47" t="s">
        <v>460</v>
      </c>
      <c r="N236" t="s">
        <v>90</v>
      </c>
      <c r="O236" t="s">
        <v>90</v>
      </c>
      <c r="P236" t="s">
        <v>90</v>
      </c>
      <c r="Q236" t="s">
        <v>90</v>
      </c>
      <c r="R236" t="s">
        <v>90</v>
      </c>
      <c r="S236" t="s">
        <v>90</v>
      </c>
      <c r="T236" t="s">
        <v>90</v>
      </c>
      <c r="U236" t="s">
        <v>90</v>
      </c>
      <c r="V236" t="s">
        <v>90</v>
      </c>
    </row>
    <row r="237" spans="1:22" ht="20">
      <c r="A237" s="57">
        <v>37281</v>
      </c>
      <c r="B237" s="45" t="s">
        <v>752</v>
      </c>
      <c r="C237" s="45"/>
      <c r="D237" s="47">
        <v>2</v>
      </c>
      <c r="E237" s="47"/>
      <c r="F237" s="47" t="s">
        <v>496</v>
      </c>
      <c r="G237" s="47"/>
      <c r="H237" s="90" t="s">
        <v>584</v>
      </c>
      <c r="I237" s="48">
        <v>4</v>
      </c>
      <c r="J237" s="47" t="s">
        <v>460</v>
      </c>
      <c r="N237" t="s">
        <v>90</v>
      </c>
      <c r="O237" t="s">
        <v>90</v>
      </c>
      <c r="P237" t="s">
        <v>90</v>
      </c>
      <c r="Q237" t="s">
        <v>90</v>
      </c>
      <c r="R237" t="s">
        <v>90</v>
      </c>
      <c r="S237" t="s">
        <v>90</v>
      </c>
      <c r="T237" t="s">
        <v>90</v>
      </c>
      <c r="U237" t="s">
        <v>90</v>
      </c>
      <c r="V237" t="s">
        <v>90</v>
      </c>
    </row>
    <row r="238" spans="1:22" ht="20">
      <c r="A238" s="57">
        <v>37282</v>
      </c>
      <c r="B238" s="45" t="s">
        <v>753</v>
      </c>
      <c r="C238" s="45" t="s">
        <v>1147</v>
      </c>
      <c r="D238" s="47">
        <v>2</v>
      </c>
      <c r="E238" s="47"/>
      <c r="F238" s="47" t="s">
        <v>496</v>
      </c>
      <c r="G238" s="47"/>
      <c r="H238" s="90" t="s">
        <v>585</v>
      </c>
      <c r="I238" s="48">
        <v>4</v>
      </c>
      <c r="J238" s="47" t="s">
        <v>460</v>
      </c>
      <c r="N238" t="s">
        <v>90</v>
      </c>
      <c r="O238" t="s">
        <v>90</v>
      </c>
      <c r="P238" t="s">
        <v>90</v>
      </c>
      <c r="Q238" t="s">
        <v>90</v>
      </c>
      <c r="R238" t="s">
        <v>90</v>
      </c>
      <c r="S238" t="s">
        <v>90</v>
      </c>
      <c r="T238" t="s">
        <v>90</v>
      </c>
      <c r="U238" t="s">
        <v>90</v>
      </c>
      <c r="V238" t="s">
        <v>90</v>
      </c>
    </row>
    <row r="239" spans="1:22" ht="20">
      <c r="A239" s="57">
        <v>37283</v>
      </c>
      <c r="B239" s="45" t="s">
        <v>754</v>
      </c>
      <c r="C239" s="45"/>
      <c r="D239" s="47">
        <v>2</v>
      </c>
      <c r="E239" s="47"/>
      <c r="F239" s="47" t="s">
        <v>496</v>
      </c>
      <c r="G239" s="47"/>
      <c r="H239" s="90" t="s">
        <v>586</v>
      </c>
      <c r="I239" s="48">
        <v>4</v>
      </c>
      <c r="J239" s="47" t="s">
        <v>460</v>
      </c>
      <c r="N239" t="s">
        <v>90</v>
      </c>
      <c r="O239" t="s">
        <v>90</v>
      </c>
      <c r="P239" t="s">
        <v>90</v>
      </c>
      <c r="Q239" t="s">
        <v>90</v>
      </c>
      <c r="R239" t="s">
        <v>90</v>
      </c>
      <c r="S239" t="s">
        <v>90</v>
      </c>
      <c r="T239" t="s">
        <v>90</v>
      </c>
      <c r="U239" t="s">
        <v>90</v>
      </c>
      <c r="V239" t="s">
        <v>90</v>
      </c>
    </row>
    <row r="240" spans="1:22" ht="20">
      <c r="A240" s="57">
        <v>37317</v>
      </c>
      <c r="B240" s="45" t="s">
        <v>755</v>
      </c>
      <c r="C240" s="45"/>
      <c r="D240" s="47">
        <v>2</v>
      </c>
      <c r="E240" s="47"/>
      <c r="F240" s="47" t="s">
        <v>496</v>
      </c>
      <c r="G240" s="47"/>
      <c r="H240" s="90" t="s">
        <v>587</v>
      </c>
      <c r="I240" s="48">
        <v>4</v>
      </c>
      <c r="J240" s="47" t="s">
        <v>460</v>
      </c>
      <c r="N240" t="s">
        <v>90</v>
      </c>
      <c r="O240" t="s">
        <v>90</v>
      </c>
      <c r="P240" t="s">
        <v>90</v>
      </c>
      <c r="Q240" t="s">
        <v>90</v>
      </c>
      <c r="R240" t="s">
        <v>256</v>
      </c>
      <c r="S240" t="s">
        <v>90</v>
      </c>
      <c r="T240" t="s">
        <v>90</v>
      </c>
      <c r="U240" t="s">
        <v>90</v>
      </c>
      <c r="V240" t="s">
        <v>90</v>
      </c>
    </row>
    <row r="241" spans="1:22" ht="20">
      <c r="A241" s="57">
        <v>38108</v>
      </c>
      <c r="B241" s="45" t="s">
        <v>756</v>
      </c>
      <c r="C241" s="45"/>
      <c r="D241" s="47">
        <v>2</v>
      </c>
      <c r="E241" s="47"/>
      <c r="F241" s="47" t="s">
        <v>496</v>
      </c>
      <c r="G241" s="47"/>
      <c r="H241" s="90" t="s">
        <v>588</v>
      </c>
      <c r="I241" s="48">
        <v>4</v>
      </c>
      <c r="J241" s="47" t="s">
        <v>460</v>
      </c>
      <c r="N241" t="s">
        <v>90</v>
      </c>
      <c r="O241" t="s">
        <v>90</v>
      </c>
      <c r="P241" t="s">
        <v>256</v>
      </c>
      <c r="Q241" t="s">
        <v>256</v>
      </c>
      <c r="R241" t="s">
        <v>256</v>
      </c>
      <c r="S241" t="s">
        <v>90</v>
      </c>
      <c r="T241" t="s">
        <v>90</v>
      </c>
      <c r="U241" t="s">
        <v>90</v>
      </c>
      <c r="V241" t="s">
        <v>90</v>
      </c>
    </row>
    <row r="242" spans="1:22" ht="20">
      <c r="A242" s="57">
        <v>37284</v>
      </c>
      <c r="B242" s="45" t="s">
        <v>757</v>
      </c>
      <c r="C242" s="45"/>
      <c r="D242" s="47">
        <v>2</v>
      </c>
      <c r="E242" s="47"/>
      <c r="F242" s="47" t="s">
        <v>496</v>
      </c>
      <c r="G242" s="47"/>
      <c r="H242" s="90" t="s">
        <v>589</v>
      </c>
      <c r="I242" s="48">
        <v>2</v>
      </c>
      <c r="J242" s="47" t="s">
        <v>460</v>
      </c>
      <c r="N242" t="s">
        <v>90</v>
      </c>
      <c r="O242" t="s">
        <v>90</v>
      </c>
      <c r="P242" t="s">
        <v>90</v>
      </c>
      <c r="Q242" t="s">
        <v>90</v>
      </c>
      <c r="R242" t="s">
        <v>90</v>
      </c>
      <c r="S242" t="s">
        <v>90</v>
      </c>
      <c r="T242" t="s">
        <v>90</v>
      </c>
      <c r="U242" t="s">
        <v>90</v>
      </c>
      <c r="V242" t="s">
        <v>90</v>
      </c>
    </row>
    <row r="243" spans="1:22" ht="20">
      <c r="A243" s="57">
        <v>37285</v>
      </c>
      <c r="B243" s="45" t="s">
        <v>758</v>
      </c>
      <c r="C243" s="45"/>
      <c r="D243" s="47">
        <v>2</v>
      </c>
      <c r="E243" s="47"/>
      <c r="F243" s="47" t="s">
        <v>496</v>
      </c>
      <c r="G243" s="47"/>
      <c r="H243" s="90" t="s">
        <v>590</v>
      </c>
      <c r="I243" s="48">
        <v>4</v>
      </c>
      <c r="J243" s="47" t="s">
        <v>460</v>
      </c>
      <c r="N243" t="s">
        <v>90</v>
      </c>
      <c r="O243" t="s">
        <v>90</v>
      </c>
      <c r="P243" t="s">
        <v>90</v>
      </c>
      <c r="Q243" t="s">
        <v>90</v>
      </c>
      <c r="R243" t="s">
        <v>90</v>
      </c>
      <c r="S243" t="s">
        <v>90</v>
      </c>
      <c r="T243" t="s">
        <v>90</v>
      </c>
      <c r="U243" t="s">
        <v>90</v>
      </c>
      <c r="V243" t="s">
        <v>90</v>
      </c>
    </row>
    <row r="244" spans="1:22" ht="20">
      <c r="A244" s="46">
        <v>37318</v>
      </c>
      <c r="B244" s="45" t="s">
        <v>759</v>
      </c>
      <c r="C244" s="45" t="s">
        <v>90</v>
      </c>
      <c r="D244" s="47">
        <v>2</v>
      </c>
      <c r="E244" s="47" t="s">
        <v>462</v>
      </c>
      <c r="F244" s="47" t="s">
        <v>417</v>
      </c>
      <c r="G244" s="47">
        <v>3</v>
      </c>
      <c r="H244" s="90" t="s">
        <v>591</v>
      </c>
      <c r="I244" s="48">
        <v>1</v>
      </c>
      <c r="J244" s="47" t="s">
        <v>458</v>
      </c>
      <c r="N244" t="s">
        <v>90</v>
      </c>
      <c r="O244" t="s">
        <v>90</v>
      </c>
      <c r="P244" t="s">
        <v>90</v>
      </c>
      <c r="Q244" t="s">
        <v>90</v>
      </c>
      <c r="R244" t="s">
        <v>90</v>
      </c>
      <c r="S244" t="s">
        <v>90</v>
      </c>
      <c r="T244" t="s">
        <v>256</v>
      </c>
      <c r="U244" t="s">
        <v>90</v>
      </c>
      <c r="V244" t="s">
        <v>90</v>
      </c>
    </row>
    <row r="245" spans="1:22" ht="20">
      <c r="A245" s="46">
        <v>37319</v>
      </c>
      <c r="B245" s="45" t="s">
        <v>760</v>
      </c>
      <c r="C245" s="45" t="s">
        <v>90</v>
      </c>
      <c r="D245" s="47">
        <v>2</v>
      </c>
      <c r="E245" s="47" t="s">
        <v>462</v>
      </c>
      <c r="F245" s="47" t="s">
        <v>463</v>
      </c>
      <c r="G245" s="47">
        <v>3</v>
      </c>
      <c r="H245" s="90" t="s">
        <v>592</v>
      </c>
      <c r="I245" s="48">
        <v>1</v>
      </c>
      <c r="J245" s="47" t="s">
        <v>458</v>
      </c>
      <c r="N245" t="s">
        <v>90</v>
      </c>
      <c r="O245" t="s">
        <v>90</v>
      </c>
      <c r="P245" t="s">
        <v>90</v>
      </c>
      <c r="Q245" t="s">
        <v>90</v>
      </c>
      <c r="R245" t="s">
        <v>90</v>
      </c>
      <c r="S245" t="s">
        <v>90</v>
      </c>
      <c r="T245" t="s">
        <v>256</v>
      </c>
      <c r="U245" t="s">
        <v>90</v>
      </c>
      <c r="V245" t="s">
        <v>90</v>
      </c>
    </row>
    <row r="246" spans="1:22" ht="20">
      <c r="A246" s="46">
        <v>38057</v>
      </c>
      <c r="B246" s="45" t="s">
        <v>761</v>
      </c>
      <c r="C246" s="45" t="s">
        <v>90</v>
      </c>
      <c r="D246" s="47">
        <v>2</v>
      </c>
      <c r="E246" s="47" t="s">
        <v>424</v>
      </c>
      <c r="F246" s="47" t="s">
        <v>463</v>
      </c>
      <c r="G246" s="47">
        <v>3</v>
      </c>
      <c r="H246" s="90" t="s">
        <v>593</v>
      </c>
      <c r="I246" s="48">
        <v>1</v>
      </c>
      <c r="J246" s="47" t="s">
        <v>458</v>
      </c>
      <c r="N246" t="s">
        <v>90</v>
      </c>
      <c r="O246" t="s">
        <v>90</v>
      </c>
      <c r="P246" t="s">
        <v>90</v>
      </c>
      <c r="Q246" t="s">
        <v>90</v>
      </c>
      <c r="R246" t="s">
        <v>90</v>
      </c>
      <c r="S246" t="s">
        <v>90</v>
      </c>
      <c r="T246" t="s">
        <v>256</v>
      </c>
      <c r="U246" t="s">
        <v>90</v>
      </c>
      <c r="V246" t="s">
        <v>90</v>
      </c>
    </row>
    <row r="247" spans="1:22" ht="20">
      <c r="A247" s="46">
        <v>37320</v>
      </c>
      <c r="B247" s="45" t="s">
        <v>762</v>
      </c>
      <c r="C247" s="45" t="s">
        <v>90</v>
      </c>
      <c r="D247" s="47">
        <v>2</v>
      </c>
      <c r="E247" s="47" t="s">
        <v>462</v>
      </c>
      <c r="F247" s="47" t="s">
        <v>468</v>
      </c>
      <c r="G247" s="47">
        <v>5</v>
      </c>
      <c r="H247" s="90" t="s">
        <v>594</v>
      </c>
      <c r="I247" s="48">
        <v>2</v>
      </c>
      <c r="J247" s="47" t="s">
        <v>458</v>
      </c>
      <c r="N247" t="s">
        <v>90</v>
      </c>
      <c r="O247" t="s">
        <v>90</v>
      </c>
      <c r="P247" t="s">
        <v>90</v>
      </c>
      <c r="Q247" t="s">
        <v>90</v>
      </c>
      <c r="R247" t="s">
        <v>90</v>
      </c>
      <c r="S247" t="s">
        <v>90</v>
      </c>
      <c r="T247" t="s">
        <v>256</v>
      </c>
      <c r="U247" t="s">
        <v>90</v>
      </c>
      <c r="V247" t="s">
        <v>90</v>
      </c>
    </row>
    <row r="248" spans="1:22" ht="20">
      <c r="A248" s="46">
        <v>37321</v>
      </c>
      <c r="B248" s="45" t="s">
        <v>763</v>
      </c>
      <c r="C248" s="45"/>
      <c r="D248" s="47">
        <v>2</v>
      </c>
      <c r="E248" s="47" t="s">
        <v>424</v>
      </c>
      <c r="F248" s="47" t="s">
        <v>479</v>
      </c>
      <c r="G248" s="47">
        <v>5</v>
      </c>
      <c r="H248" s="90" t="s">
        <v>595</v>
      </c>
      <c r="I248" s="48">
        <v>2</v>
      </c>
      <c r="J248" s="47" t="s">
        <v>458</v>
      </c>
      <c r="N248" t="s">
        <v>90</v>
      </c>
      <c r="O248" t="s">
        <v>90</v>
      </c>
      <c r="P248" t="s">
        <v>90</v>
      </c>
      <c r="Q248" t="s">
        <v>90</v>
      </c>
      <c r="R248" t="s">
        <v>90</v>
      </c>
      <c r="S248" t="s">
        <v>90</v>
      </c>
      <c r="T248" t="s">
        <v>256</v>
      </c>
      <c r="U248" t="s">
        <v>90</v>
      </c>
      <c r="V248" t="s">
        <v>90</v>
      </c>
    </row>
    <row r="249" spans="1:22" ht="20">
      <c r="A249" s="46">
        <v>37322</v>
      </c>
      <c r="B249" s="45" t="s">
        <v>772</v>
      </c>
      <c r="C249" s="45" t="s">
        <v>90</v>
      </c>
      <c r="D249" s="47">
        <v>2</v>
      </c>
      <c r="E249" s="47" t="s">
        <v>467</v>
      </c>
      <c r="F249" s="47" t="s">
        <v>466</v>
      </c>
      <c r="G249" s="47">
        <v>4</v>
      </c>
      <c r="H249" s="90" t="s">
        <v>596</v>
      </c>
      <c r="I249" s="48">
        <v>2</v>
      </c>
      <c r="J249" s="47" t="s">
        <v>458</v>
      </c>
      <c r="N249" t="s">
        <v>90</v>
      </c>
      <c r="O249" t="s">
        <v>90</v>
      </c>
      <c r="P249" t="s">
        <v>90</v>
      </c>
      <c r="Q249" t="s">
        <v>90</v>
      </c>
      <c r="R249" t="s">
        <v>90</v>
      </c>
      <c r="S249" t="s">
        <v>90</v>
      </c>
      <c r="T249" t="s">
        <v>256</v>
      </c>
      <c r="U249" t="s">
        <v>90</v>
      </c>
      <c r="V249" t="s">
        <v>90</v>
      </c>
    </row>
    <row r="250" spans="1:22" ht="20">
      <c r="A250" s="46">
        <v>37323</v>
      </c>
      <c r="B250" s="45" t="s">
        <v>773</v>
      </c>
      <c r="C250" s="45" t="s">
        <v>90</v>
      </c>
      <c r="D250" s="47">
        <v>2</v>
      </c>
      <c r="E250" s="47" t="s">
        <v>413</v>
      </c>
      <c r="F250" s="47" t="s">
        <v>466</v>
      </c>
      <c r="G250" s="47">
        <v>4</v>
      </c>
      <c r="H250" s="90" t="s">
        <v>597</v>
      </c>
      <c r="I250" s="48">
        <v>3</v>
      </c>
      <c r="J250" s="47" t="s">
        <v>458</v>
      </c>
      <c r="N250" t="s">
        <v>90</v>
      </c>
      <c r="O250" t="s">
        <v>90</v>
      </c>
      <c r="P250" t="s">
        <v>90</v>
      </c>
      <c r="Q250" t="s">
        <v>90</v>
      </c>
      <c r="R250" t="s">
        <v>90</v>
      </c>
      <c r="S250" t="s">
        <v>90</v>
      </c>
      <c r="T250" t="s">
        <v>256</v>
      </c>
      <c r="U250" t="s">
        <v>90</v>
      </c>
      <c r="V250" t="s">
        <v>90</v>
      </c>
    </row>
    <row r="251" spans="1:22" ht="20">
      <c r="A251" s="46">
        <v>37324</v>
      </c>
      <c r="B251" s="45" t="s">
        <v>774</v>
      </c>
      <c r="C251" s="45" t="s">
        <v>90</v>
      </c>
      <c r="D251" s="47">
        <v>2</v>
      </c>
      <c r="E251" s="47" t="s">
        <v>497</v>
      </c>
      <c r="F251" s="47" t="s">
        <v>466</v>
      </c>
      <c r="G251" s="47">
        <v>4</v>
      </c>
      <c r="H251" s="90" t="s">
        <v>598</v>
      </c>
      <c r="I251" s="48">
        <v>3</v>
      </c>
      <c r="J251" s="47" t="s">
        <v>458</v>
      </c>
      <c r="N251" t="s">
        <v>90</v>
      </c>
      <c r="O251" t="s">
        <v>90</v>
      </c>
      <c r="P251" t="s">
        <v>90</v>
      </c>
      <c r="Q251" t="s">
        <v>90</v>
      </c>
      <c r="R251" t="s">
        <v>90</v>
      </c>
      <c r="S251" t="s">
        <v>90</v>
      </c>
      <c r="T251" t="s">
        <v>256</v>
      </c>
      <c r="U251" t="s">
        <v>90</v>
      </c>
      <c r="V251" t="s">
        <v>90</v>
      </c>
    </row>
    <row r="252" spans="1:22" ht="20">
      <c r="A252" s="46">
        <v>37325</v>
      </c>
      <c r="B252" s="45" t="s">
        <v>775</v>
      </c>
      <c r="C252" s="45" t="s">
        <v>90</v>
      </c>
      <c r="D252" s="47">
        <v>2</v>
      </c>
      <c r="E252" s="47" t="s">
        <v>467</v>
      </c>
      <c r="F252" s="47" t="s">
        <v>468</v>
      </c>
      <c r="G252" s="47">
        <v>4</v>
      </c>
      <c r="H252" s="90" t="s">
        <v>599</v>
      </c>
      <c r="I252" s="48">
        <v>4</v>
      </c>
      <c r="J252" s="47" t="s">
        <v>458</v>
      </c>
      <c r="N252" t="s">
        <v>90</v>
      </c>
      <c r="O252" t="s">
        <v>90</v>
      </c>
      <c r="P252" t="s">
        <v>90</v>
      </c>
      <c r="Q252" t="s">
        <v>90</v>
      </c>
      <c r="R252" t="s">
        <v>90</v>
      </c>
      <c r="S252" t="s">
        <v>90</v>
      </c>
      <c r="T252" t="s">
        <v>256</v>
      </c>
      <c r="U252" t="s">
        <v>90</v>
      </c>
      <c r="V252" t="s">
        <v>90</v>
      </c>
    </row>
    <row r="253" spans="1:22" ht="20">
      <c r="A253" s="46">
        <v>37326</v>
      </c>
      <c r="B253" s="45" t="s">
        <v>776</v>
      </c>
      <c r="C253" s="45" t="s">
        <v>90</v>
      </c>
      <c r="D253" s="47">
        <v>2</v>
      </c>
      <c r="E253" s="47" t="s">
        <v>486</v>
      </c>
      <c r="F253" s="47" t="s">
        <v>468</v>
      </c>
      <c r="G253" s="47">
        <v>4</v>
      </c>
      <c r="H253" s="90" t="s">
        <v>600</v>
      </c>
      <c r="I253" s="48">
        <v>4</v>
      </c>
      <c r="J253" s="47" t="s">
        <v>458</v>
      </c>
      <c r="N253" t="s">
        <v>90</v>
      </c>
      <c r="O253" t="s">
        <v>90</v>
      </c>
      <c r="P253" t="s">
        <v>90</v>
      </c>
      <c r="Q253" t="s">
        <v>90</v>
      </c>
      <c r="R253" t="s">
        <v>90</v>
      </c>
      <c r="S253" t="s">
        <v>90</v>
      </c>
      <c r="T253" t="s">
        <v>256</v>
      </c>
      <c r="U253" t="s">
        <v>90</v>
      </c>
      <c r="V253" t="s">
        <v>90</v>
      </c>
    </row>
    <row r="254" spans="1:22" ht="20">
      <c r="A254" s="46">
        <v>37327</v>
      </c>
      <c r="B254" s="45" t="s">
        <v>777</v>
      </c>
      <c r="C254" s="45" t="s">
        <v>90</v>
      </c>
      <c r="D254" s="47">
        <v>2</v>
      </c>
      <c r="E254" s="47" t="s">
        <v>413</v>
      </c>
      <c r="F254" s="56" t="s">
        <v>414</v>
      </c>
      <c r="G254" s="56">
        <v>2</v>
      </c>
      <c r="H254" s="90" t="s">
        <v>601</v>
      </c>
      <c r="I254" s="48">
        <v>3</v>
      </c>
      <c r="J254" s="47" t="s">
        <v>458</v>
      </c>
      <c r="N254" t="s">
        <v>90</v>
      </c>
      <c r="O254" t="s">
        <v>90</v>
      </c>
      <c r="P254" t="s">
        <v>90</v>
      </c>
      <c r="Q254" t="s">
        <v>90</v>
      </c>
      <c r="R254" t="s">
        <v>90</v>
      </c>
      <c r="S254" t="s">
        <v>90</v>
      </c>
      <c r="T254" t="s">
        <v>256</v>
      </c>
      <c r="U254" t="s">
        <v>90</v>
      </c>
      <c r="V254" t="s">
        <v>90</v>
      </c>
    </row>
    <row r="255" spans="1:22" ht="20">
      <c r="A255" s="46">
        <v>37328</v>
      </c>
      <c r="B255" s="45" t="s">
        <v>778</v>
      </c>
      <c r="C255" s="45" t="s">
        <v>90</v>
      </c>
      <c r="D255" s="47">
        <v>2</v>
      </c>
      <c r="E255" s="47" t="s">
        <v>497</v>
      </c>
      <c r="F255" s="47" t="s">
        <v>445</v>
      </c>
      <c r="G255" s="56">
        <v>3</v>
      </c>
      <c r="H255" s="90" t="s">
        <v>602</v>
      </c>
      <c r="I255" s="48">
        <v>3</v>
      </c>
      <c r="J255" s="47" t="s">
        <v>458</v>
      </c>
      <c r="N255" t="s">
        <v>90</v>
      </c>
      <c r="O255" t="s">
        <v>90</v>
      </c>
      <c r="P255" t="s">
        <v>90</v>
      </c>
      <c r="Q255" t="s">
        <v>90</v>
      </c>
      <c r="R255" t="s">
        <v>90</v>
      </c>
      <c r="S255" t="s">
        <v>90</v>
      </c>
      <c r="T255" t="s">
        <v>256</v>
      </c>
      <c r="U255" t="s">
        <v>90</v>
      </c>
      <c r="V255" t="s">
        <v>90</v>
      </c>
    </row>
    <row r="256" spans="1:22" ht="20">
      <c r="A256" s="46">
        <v>37329</v>
      </c>
      <c r="B256" s="45" t="s">
        <v>779</v>
      </c>
      <c r="C256" s="45" t="s">
        <v>90</v>
      </c>
      <c r="D256" s="47">
        <v>2</v>
      </c>
      <c r="E256" s="47" t="s">
        <v>467</v>
      </c>
      <c r="F256" s="47" t="s">
        <v>463</v>
      </c>
      <c r="G256" s="47">
        <v>4</v>
      </c>
      <c r="H256" s="90" t="s">
        <v>620</v>
      </c>
      <c r="I256" s="48">
        <v>4</v>
      </c>
      <c r="J256" s="47" t="s">
        <v>458</v>
      </c>
      <c r="N256" t="s">
        <v>90</v>
      </c>
      <c r="O256" t="s">
        <v>90</v>
      </c>
      <c r="P256" t="s">
        <v>90</v>
      </c>
      <c r="Q256" t="s">
        <v>90</v>
      </c>
      <c r="R256" t="s">
        <v>90</v>
      </c>
      <c r="S256" t="s">
        <v>90</v>
      </c>
      <c r="T256" t="s">
        <v>256</v>
      </c>
      <c r="U256" t="s">
        <v>90</v>
      </c>
      <c r="V256" t="s">
        <v>90</v>
      </c>
    </row>
    <row r="257" spans="1:22" ht="20">
      <c r="A257" s="46">
        <v>37330</v>
      </c>
      <c r="B257" s="45" t="s">
        <v>780</v>
      </c>
      <c r="C257" s="45" t="s">
        <v>90</v>
      </c>
      <c r="D257" s="47">
        <v>2</v>
      </c>
      <c r="E257" s="47" t="s">
        <v>486</v>
      </c>
      <c r="F257" s="47" t="s">
        <v>463</v>
      </c>
      <c r="G257" s="47">
        <v>4</v>
      </c>
      <c r="H257" s="90" t="s">
        <v>603</v>
      </c>
      <c r="I257" s="48">
        <v>4</v>
      </c>
      <c r="J257" s="47" t="s">
        <v>458</v>
      </c>
      <c r="N257" t="s">
        <v>90</v>
      </c>
      <c r="O257" t="s">
        <v>90</v>
      </c>
      <c r="P257" t="s">
        <v>90</v>
      </c>
      <c r="Q257" t="s">
        <v>90</v>
      </c>
      <c r="R257" t="s">
        <v>90</v>
      </c>
      <c r="S257" t="s">
        <v>90</v>
      </c>
      <c r="T257" t="s">
        <v>256</v>
      </c>
      <c r="U257" t="s">
        <v>90</v>
      </c>
      <c r="V257" t="s">
        <v>90</v>
      </c>
    </row>
    <row r="258" spans="1:22" ht="20">
      <c r="A258" s="46">
        <v>37331</v>
      </c>
      <c r="B258" s="45" t="s">
        <v>781</v>
      </c>
      <c r="C258" s="45" t="s">
        <v>90</v>
      </c>
      <c r="D258" s="47">
        <v>2</v>
      </c>
      <c r="E258" s="47" t="s">
        <v>413</v>
      </c>
      <c r="F258" s="47" t="s">
        <v>418</v>
      </c>
      <c r="G258" s="47">
        <v>4</v>
      </c>
      <c r="H258" s="90" t="s">
        <v>604</v>
      </c>
      <c r="I258" s="48">
        <v>3</v>
      </c>
      <c r="J258" s="47" t="s">
        <v>458</v>
      </c>
      <c r="N258" t="s">
        <v>90</v>
      </c>
      <c r="O258" t="s">
        <v>90</v>
      </c>
      <c r="P258" t="s">
        <v>90</v>
      </c>
      <c r="Q258" t="s">
        <v>90</v>
      </c>
      <c r="R258" t="s">
        <v>90</v>
      </c>
      <c r="S258" t="s">
        <v>90</v>
      </c>
      <c r="T258" t="s">
        <v>256</v>
      </c>
      <c r="U258" t="s">
        <v>90</v>
      </c>
      <c r="V258" t="s">
        <v>90</v>
      </c>
    </row>
    <row r="259" spans="1:22" ht="20">
      <c r="A259" s="46">
        <v>37332</v>
      </c>
      <c r="B259" s="45" t="s">
        <v>782</v>
      </c>
      <c r="C259" s="45" t="s">
        <v>90</v>
      </c>
      <c r="D259" s="47">
        <v>2</v>
      </c>
      <c r="E259" s="47" t="s">
        <v>469</v>
      </c>
      <c r="F259" s="47" t="s">
        <v>420</v>
      </c>
      <c r="G259" s="47">
        <v>3</v>
      </c>
      <c r="H259" s="90" t="s">
        <v>605</v>
      </c>
      <c r="I259" s="48">
        <v>3</v>
      </c>
      <c r="J259" s="47" t="s">
        <v>458</v>
      </c>
      <c r="N259" t="s">
        <v>90</v>
      </c>
      <c r="O259" t="s">
        <v>90</v>
      </c>
      <c r="P259" t="s">
        <v>90</v>
      </c>
      <c r="Q259" t="s">
        <v>90</v>
      </c>
      <c r="R259" t="s">
        <v>90</v>
      </c>
      <c r="S259" t="s">
        <v>90</v>
      </c>
      <c r="T259" t="s">
        <v>256</v>
      </c>
      <c r="U259" t="s">
        <v>90</v>
      </c>
      <c r="V259" t="s">
        <v>90</v>
      </c>
    </row>
    <row r="260" spans="1:22" ht="20">
      <c r="A260" s="46">
        <v>37333</v>
      </c>
      <c r="B260" s="45" t="s">
        <v>783</v>
      </c>
      <c r="C260" s="45" t="s">
        <v>90</v>
      </c>
      <c r="D260" s="47">
        <v>2</v>
      </c>
      <c r="E260" s="47" t="s">
        <v>467</v>
      </c>
      <c r="F260" s="47" t="s">
        <v>445</v>
      </c>
      <c r="G260" s="47">
        <v>3</v>
      </c>
      <c r="H260" s="90" t="s">
        <v>606</v>
      </c>
      <c r="I260" s="48">
        <v>4</v>
      </c>
      <c r="J260" s="47" t="s">
        <v>458</v>
      </c>
      <c r="N260" t="s">
        <v>90</v>
      </c>
      <c r="O260" t="s">
        <v>90</v>
      </c>
      <c r="P260" t="s">
        <v>90</v>
      </c>
      <c r="Q260" t="s">
        <v>90</v>
      </c>
      <c r="R260" t="s">
        <v>90</v>
      </c>
      <c r="S260" t="s">
        <v>90</v>
      </c>
      <c r="T260" t="s">
        <v>256</v>
      </c>
      <c r="U260" t="s">
        <v>90</v>
      </c>
      <c r="V260" t="s">
        <v>90</v>
      </c>
    </row>
    <row r="261" spans="1:22" ht="20">
      <c r="A261" s="46">
        <v>37334</v>
      </c>
      <c r="B261" s="45" t="s">
        <v>784</v>
      </c>
      <c r="C261" s="45" t="s">
        <v>90</v>
      </c>
      <c r="D261" s="47">
        <v>2</v>
      </c>
      <c r="E261" s="47" t="s">
        <v>486</v>
      </c>
      <c r="F261" s="47" t="s">
        <v>463</v>
      </c>
      <c r="G261" s="47">
        <v>3</v>
      </c>
      <c r="H261" s="90" t="s">
        <v>607</v>
      </c>
      <c r="I261" s="48">
        <v>4</v>
      </c>
      <c r="J261" s="47" t="s">
        <v>458</v>
      </c>
      <c r="N261" t="s">
        <v>90</v>
      </c>
      <c r="O261" t="s">
        <v>90</v>
      </c>
      <c r="P261" t="s">
        <v>90</v>
      </c>
      <c r="Q261" t="s">
        <v>90</v>
      </c>
      <c r="R261" t="s">
        <v>90</v>
      </c>
      <c r="S261" t="s">
        <v>90</v>
      </c>
      <c r="T261" t="s">
        <v>256</v>
      </c>
      <c r="U261" t="s">
        <v>90</v>
      </c>
      <c r="V261" t="s">
        <v>90</v>
      </c>
    </row>
    <row r="262" spans="1:22" ht="20">
      <c r="A262" s="46">
        <v>37335</v>
      </c>
      <c r="B262" s="45" t="s">
        <v>785</v>
      </c>
      <c r="C262" s="45" t="s">
        <v>90</v>
      </c>
      <c r="D262" s="47">
        <v>2</v>
      </c>
      <c r="E262" s="47" t="s">
        <v>413</v>
      </c>
      <c r="F262" s="47" t="s">
        <v>418</v>
      </c>
      <c r="G262" s="47">
        <v>5</v>
      </c>
      <c r="H262" s="90" t="s">
        <v>608</v>
      </c>
      <c r="I262" s="48">
        <v>3</v>
      </c>
      <c r="J262" s="47" t="s">
        <v>458</v>
      </c>
      <c r="N262" t="s">
        <v>90</v>
      </c>
      <c r="O262" t="s">
        <v>90</v>
      </c>
      <c r="P262" t="s">
        <v>90</v>
      </c>
      <c r="Q262" t="s">
        <v>90</v>
      </c>
      <c r="R262" t="s">
        <v>90</v>
      </c>
      <c r="S262" t="s">
        <v>90</v>
      </c>
      <c r="T262" t="s">
        <v>256</v>
      </c>
      <c r="U262" t="s">
        <v>90</v>
      </c>
      <c r="V262" t="s">
        <v>90</v>
      </c>
    </row>
    <row r="263" spans="1:22" ht="20">
      <c r="A263" s="46">
        <v>37336</v>
      </c>
      <c r="B263" s="45" t="s">
        <v>786</v>
      </c>
      <c r="C263" s="45" t="s">
        <v>90</v>
      </c>
      <c r="D263" s="47">
        <v>2</v>
      </c>
      <c r="E263" s="47" t="s">
        <v>469</v>
      </c>
      <c r="F263" s="47" t="s">
        <v>433</v>
      </c>
      <c r="G263" s="47">
        <v>3</v>
      </c>
      <c r="H263" s="90" t="s">
        <v>609</v>
      </c>
      <c r="I263" s="48">
        <v>3</v>
      </c>
      <c r="J263" s="47" t="s">
        <v>458</v>
      </c>
      <c r="N263" t="s">
        <v>90</v>
      </c>
      <c r="O263" t="s">
        <v>90</v>
      </c>
      <c r="P263" t="s">
        <v>90</v>
      </c>
      <c r="Q263" t="s">
        <v>90</v>
      </c>
      <c r="R263" t="s">
        <v>90</v>
      </c>
      <c r="S263" t="s">
        <v>90</v>
      </c>
      <c r="T263" t="s">
        <v>256</v>
      </c>
      <c r="U263" t="s">
        <v>90</v>
      </c>
      <c r="V263" t="s">
        <v>90</v>
      </c>
    </row>
    <row r="264" spans="1:22" ht="20">
      <c r="A264" s="46">
        <v>37337</v>
      </c>
      <c r="B264" s="45" t="s">
        <v>787</v>
      </c>
      <c r="C264" s="45" t="s">
        <v>90</v>
      </c>
      <c r="D264" s="47">
        <v>2</v>
      </c>
      <c r="E264" s="47" t="s">
        <v>467</v>
      </c>
      <c r="F264" s="47" t="s">
        <v>417</v>
      </c>
      <c r="G264" s="47">
        <v>4</v>
      </c>
      <c r="H264" s="90" t="s">
        <v>610</v>
      </c>
      <c r="I264" s="48">
        <v>4</v>
      </c>
      <c r="J264" s="47" t="s">
        <v>458</v>
      </c>
      <c r="N264" t="s">
        <v>90</v>
      </c>
      <c r="O264" t="s">
        <v>90</v>
      </c>
      <c r="P264" t="s">
        <v>90</v>
      </c>
      <c r="Q264" t="s">
        <v>90</v>
      </c>
      <c r="R264" t="s">
        <v>90</v>
      </c>
      <c r="S264" t="s">
        <v>90</v>
      </c>
      <c r="T264" t="s">
        <v>256</v>
      </c>
      <c r="U264" t="s">
        <v>90</v>
      </c>
      <c r="V264" t="s">
        <v>90</v>
      </c>
    </row>
    <row r="265" spans="1:22" ht="20">
      <c r="A265" s="46">
        <v>37338</v>
      </c>
      <c r="B265" s="45" t="s">
        <v>788</v>
      </c>
      <c r="C265" s="45" t="s">
        <v>90</v>
      </c>
      <c r="D265" s="47">
        <v>2</v>
      </c>
      <c r="E265" s="47" t="s">
        <v>486</v>
      </c>
      <c r="F265" s="47" t="s">
        <v>417</v>
      </c>
      <c r="G265" s="47">
        <v>4</v>
      </c>
      <c r="H265" s="90" t="s">
        <v>611</v>
      </c>
      <c r="I265" s="48">
        <v>4</v>
      </c>
      <c r="J265" s="47" t="s">
        <v>458</v>
      </c>
      <c r="N265" t="s">
        <v>90</v>
      </c>
      <c r="O265" t="s">
        <v>90</v>
      </c>
      <c r="P265" t="s">
        <v>90</v>
      </c>
      <c r="Q265" t="s">
        <v>90</v>
      </c>
      <c r="R265" t="s">
        <v>90</v>
      </c>
      <c r="S265" t="s">
        <v>90</v>
      </c>
      <c r="T265" t="s">
        <v>256</v>
      </c>
      <c r="U265" t="s">
        <v>90</v>
      </c>
      <c r="V265" t="s">
        <v>90</v>
      </c>
    </row>
    <row r="266" spans="1:22" ht="20">
      <c r="A266" s="46">
        <v>38058</v>
      </c>
      <c r="B266" s="45" t="s">
        <v>789</v>
      </c>
      <c r="C266" s="45" t="s">
        <v>90</v>
      </c>
      <c r="D266" s="47">
        <v>2</v>
      </c>
      <c r="E266" s="47" t="s">
        <v>413</v>
      </c>
      <c r="F266" s="47" t="s">
        <v>433</v>
      </c>
      <c r="G266" s="47">
        <v>4</v>
      </c>
      <c r="H266" s="90" t="s">
        <v>612</v>
      </c>
      <c r="I266" s="48">
        <v>3</v>
      </c>
      <c r="J266" s="47" t="s">
        <v>458</v>
      </c>
      <c r="N266" t="s">
        <v>90</v>
      </c>
      <c r="O266" t="s">
        <v>90</v>
      </c>
      <c r="P266" t="s">
        <v>90</v>
      </c>
      <c r="Q266" t="s">
        <v>90</v>
      </c>
      <c r="R266" t="s">
        <v>90</v>
      </c>
      <c r="S266" t="s">
        <v>90</v>
      </c>
      <c r="T266" t="s">
        <v>256</v>
      </c>
      <c r="U266" t="s">
        <v>90</v>
      </c>
      <c r="V266" t="s">
        <v>90</v>
      </c>
    </row>
    <row r="267" spans="1:22" ht="20">
      <c r="A267" s="46">
        <v>38059</v>
      </c>
      <c r="B267" s="45" t="s">
        <v>790</v>
      </c>
      <c r="C267" s="45" t="s">
        <v>90</v>
      </c>
      <c r="D267" s="47">
        <v>2</v>
      </c>
      <c r="E267" s="47" t="s">
        <v>469</v>
      </c>
      <c r="F267" s="47" t="s">
        <v>420</v>
      </c>
      <c r="G267" s="47">
        <v>4</v>
      </c>
      <c r="H267" s="90" t="s">
        <v>613</v>
      </c>
      <c r="I267" s="48">
        <v>3</v>
      </c>
      <c r="J267" s="47" t="s">
        <v>458</v>
      </c>
      <c r="N267" t="s">
        <v>90</v>
      </c>
      <c r="O267" t="s">
        <v>90</v>
      </c>
      <c r="P267" t="s">
        <v>90</v>
      </c>
      <c r="Q267" t="s">
        <v>90</v>
      </c>
      <c r="R267" t="s">
        <v>90</v>
      </c>
      <c r="S267" t="s">
        <v>90</v>
      </c>
      <c r="T267" t="s">
        <v>256</v>
      </c>
      <c r="U267" t="s">
        <v>90</v>
      </c>
      <c r="V267" t="s">
        <v>90</v>
      </c>
    </row>
    <row r="268" spans="1:22" ht="20">
      <c r="A268" s="46">
        <v>38060</v>
      </c>
      <c r="B268" s="45" t="s">
        <v>791</v>
      </c>
      <c r="C268" s="45" t="s">
        <v>90</v>
      </c>
      <c r="D268" s="47">
        <v>2</v>
      </c>
      <c r="E268" s="47" t="s">
        <v>467</v>
      </c>
      <c r="F268" s="47" t="s">
        <v>445</v>
      </c>
      <c r="G268" s="47">
        <v>3</v>
      </c>
      <c r="H268" s="90" t="s">
        <v>614</v>
      </c>
      <c r="I268" s="48">
        <v>4</v>
      </c>
      <c r="J268" s="47" t="s">
        <v>458</v>
      </c>
      <c r="N268" t="s">
        <v>90</v>
      </c>
      <c r="O268" t="s">
        <v>90</v>
      </c>
      <c r="P268" t="s">
        <v>90</v>
      </c>
      <c r="Q268" t="s">
        <v>90</v>
      </c>
      <c r="R268" t="s">
        <v>90</v>
      </c>
      <c r="S268" t="s">
        <v>90</v>
      </c>
      <c r="T268" t="s">
        <v>256</v>
      </c>
      <c r="U268" t="s">
        <v>90</v>
      </c>
      <c r="V268" t="s">
        <v>90</v>
      </c>
    </row>
    <row r="269" spans="1:22" ht="20">
      <c r="A269" s="46">
        <v>38061</v>
      </c>
      <c r="B269" s="45" t="s">
        <v>792</v>
      </c>
      <c r="C269" s="45" t="s">
        <v>90</v>
      </c>
      <c r="D269" s="47">
        <v>2</v>
      </c>
      <c r="E269" s="47" t="s">
        <v>486</v>
      </c>
      <c r="F269" s="47" t="s">
        <v>445</v>
      </c>
      <c r="G269" s="47">
        <v>3</v>
      </c>
      <c r="H269" s="90" t="s">
        <v>615</v>
      </c>
      <c r="I269" s="48">
        <v>4</v>
      </c>
      <c r="J269" s="47" t="s">
        <v>458</v>
      </c>
      <c r="N269" t="s">
        <v>90</v>
      </c>
      <c r="O269" t="s">
        <v>90</v>
      </c>
      <c r="P269" t="s">
        <v>90</v>
      </c>
      <c r="Q269" t="s">
        <v>90</v>
      </c>
      <c r="R269" t="s">
        <v>90</v>
      </c>
      <c r="S269" t="s">
        <v>90</v>
      </c>
      <c r="T269" t="s">
        <v>256</v>
      </c>
      <c r="U269" t="s">
        <v>90</v>
      </c>
      <c r="V269" t="s">
        <v>90</v>
      </c>
    </row>
    <row r="270" spans="1:22" ht="20">
      <c r="A270" s="46">
        <v>37339</v>
      </c>
      <c r="B270" s="45" t="s">
        <v>793</v>
      </c>
      <c r="C270" s="45" t="s">
        <v>90</v>
      </c>
      <c r="D270" s="47">
        <v>2</v>
      </c>
      <c r="E270" s="47" t="s">
        <v>434</v>
      </c>
      <c r="F270" s="47" t="s">
        <v>418</v>
      </c>
      <c r="G270" s="47">
        <v>2</v>
      </c>
      <c r="H270" s="90" t="s">
        <v>616</v>
      </c>
      <c r="I270" s="48">
        <v>3</v>
      </c>
      <c r="J270" s="47" t="s">
        <v>493</v>
      </c>
      <c r="N270" t="s">
        <v>90</v>
      </c>
      <c r="O270" t="s">
        <v>90</v>
      </c>
      <c r="P270" t="s">
        <v>90</v>
      </c>
      <c r="Q270" t="s">
        <v>90</v>
      </c>
      <c r="R270" t="s">
        <v>90</v>
      </c>
      <c r="S270" t="s">
        <v>90</v>
      </c>
      <c r="T270" t="s">
        <v>256</v>
      </c>
      <c r="U270" t="s">
        <v>90</v>
      </c>
      <c r="V270" t="s">
        <v>90</v>
      </c>
    </row>
    <row r="271" spans="1:22" ht="20">
      <c r="A271" s="46">
        <v>37340</v>
      </c>
      <c r="B271" s="45" t="s">
        <v>794</v>
      </c>
      <c r="C271" s="45" t="s">
        <v>90</v>
      </c>
      <c r="D271" s="47">
        <v>2</v>
      </c>
      <c r="E271" s="47" t="s">
        <v>497</v>
      </c>
      <c r="F271" s="47" t="s">
        <v>418</v>
      </c>
      <c r="G271" s="47">
        <v>2</v>
      </c>
      <c r="H271" s="90" t="s">
        <v>617</v>
      </c>
      <c r="I271" s="48">
        <v>3</v>
      </c>
      <c r="J271" s="47" t="s">
        <v>493</v>
      </c>
      <c r="N271" t="s">
        <v>90</v>
      </c>
      <c r="O271" t="s">
        <v>90</v>
      </c>
      <c r="P271" t="s">
        <v>90</v>
      </c>
      <c r="Q271" t="s">
        <v>90</v>
      </c>
      <c r="R271" t="s">
        <v>90</v>
      </c>
      <c r="S271" t="s">
        <v>90</v>
      </c>
      <c r="T271" t="s">
        <v>256</v>
      </c>
      <c r="U271" t="s">
        <v>90</v>
      </c>
      <c r="V271" t="s">
        <v>90</v>
      </c>
    </row>
    <row r="272" spans="1:22" ht="20">
      <c r="A272" s="46">
        <v>37341</v>
      </c>
      <c r="B272" s="45" t="s">
        <v>795</v>
      </c>
      <c r="C272" s="45" t="s">
        <v>90</v>
      </c>
      <c r="D272" s="47">
        <v>2</v>
      </c>
      <c r="E272" s="47" t="s">
        <v>467</v>
      </c>
      <c r="F272" s="47" t="s">
        <v>445</v>
      </c>
      <c r="G272" s="47">
        <v>3</v>
      </c>
      <c r="H272" s="90" t="s">
        <v>618</v>
      </c>
      <c r="I272" s="48">
        <v>4</v>
      </c>
      <c r="J272" s="47" t="s">
        <v>493</v>
      </c>
      <c r="N272" t="s">
        <v>90</v>
      </c>
      <c r="O272" t="s">
        <v>90</v>
      </c>
      <c r="P272" t="s">
        <v>90</v>
      </c>
      <c r="Q272" t="s">
        <v>90</v>
      </c>
      <c r="R272" t="s">
        <v>90</v>
      </c>
      <c r="S272" t="s">
        <v>90</v>
      </c>
      <c r="T272" t="s">
        <v>256</v>
      </c>
      <c r="U272" t="s">
        <v>90</v>
      </c>
      <c r="V272" t="s">
        <v>90</v>
      </c>
    </row>
    <row r="273" spans="1:22" ht="20">
      <c r="A273" s="46">
        <v>37342</v>
      </c>
      <c r="B273" s="45" t="s">
        <v>796</v>
      </c>
      <c r="C273" s="45" t="s">
        <v>90</v>
      </c>
      <c r="D273" s="47">
        <v>2</v>
      </c>
      <c r="E273" s="47" t="s">
        <v>473</v>
      </c>
      <c r="F273" s="47" t="s">
        <v>473</v>
      </c>
      <c r="G273" s="47" t="s">
        <v>473</v>
      </c>
      <c r="H273" s="90" t="s">
        <v>619</v>
      </c>
      <c r="I273" s="48">
        <v>4</v>
      </c>
      <c r="J273" s="47" t="s">
        <v>493</v>
      </c>
      <c r="N273" t="s">
        <v>90</v>
      </c>
      <c r="O273" t="s">
        <v>90</v>
      </c>
      <c r="P273" t="s">
        <v>90</v>
      </c>
      <c r="Q273" t="s">
        <v>90</v>
      </c>
      <c r="R273" t="s">
        <v>90</v>
      </c>
      <c r="S273" t="s">
        <v>90</v>
      </c>
      <c r="T273" t="s">
        <v>256</v>
      </c>
      <c r="U273" t="s">
        <v>90</v>
      </c>
      <c r="V273" t="s">
        <v>90</v>
      </c>
    </row>
    <row r="274" spans="1:22" ht="20">
      <c r="A274" s="46">
        <v>38019</v>
      </c>
      <c r="B274" s="45" t="s">
        <v>673</v>
      </c>
      <c r="C274" s="45"/>
      <c r="D274" s="47">
        <v>4</v>
      </c>
      <c r="E274" s="47"/>
      <c r="F274" s="47" t="s">
        <v>498</v>
      </c>
      <c r="G274" s="47"/>
      <c r="H274" s="90" t="s">
        <v>609</v>
      </c>
      <c r="I274" s="48">
        <v>4</v>
      </c>
      <c r="J274" s="47" t="s">
        <v>458</v>
      </c>
      <c r="N274" t="s">
        <v>90</v>
      </c>
      <c r="O274" t="s">
        <v>256</v>
      </c>
      <c r="P274" t="s">
        <v>90</v>
      </c>
      <c r="Q274" t="s">
        <v>90</v>
      </c>
      <c r="R274" t="s">
        <v>90</v>
      </c>
      <c r="S274" t="s">
        <v>90</v>
      </c>
      <c r="T274" t="s">
        <v>256</v>
      </c>
      <c r="U274" t="s">
        <v>256</v>
      </c>
      <c r="V274" t="s">
        <v>256</v>
      </c>
    </row>
    <row r="275" spans="1:22" ht="20">
      <c r="A275" s="46">
        <v>37343</v>
      </c>
      <c r="B275" s="45" t="s">
        <v>797</v>
      </c>
      <c r="C275" s="45" t="s">
        <v>90</v>
      </c>
      <c r="D275" s="47">
        <v>2</v>
      </c>
      <c r="E275" s="47" t="s">
        <v>47</v>
      </c>
      <c r="F275" s="47" t="s">
        <v>418</v>
      </c>
      <c r="G275" s="47" t="s">
        <v>499</v>
      </c>
      <c r="H275" s="90" t="s">
        <v>572</v>
      </c>
      <c r="I275" s="48">
        <v>1</v>
      </c>
      <c r="J275" s="47" t="s">
        <v>458</v>
      </c>
      <c r="N275" t="s">
        <v>90</v>
      </c>
      <c r="O275" t="s">
        <v>90</v>
      </c>
      <c r="P275" t="s">
        <v>90</v>
      </c>
      <c r="Q275" t="s">
        <v>90</v>
      </c>
      <c r="R275" t="s">
        <v>90</v>
      </c>
      <c r="S275" t="s">
        <v>90</v>
      </c>
      <c r="T275" t="s">
        <v>90</v>
      </c>
      <c r="U275" t="s">
        <v>90</v>
      </c>
      <c r="V275" t="s">
        <v>90</v>
      </c>
    </row>
    <row r="276" spans="1:22" ht="20">
      <c r="A276" s="46">
        <v>37344</v>
      </c>
      <c r="B276" s="45" t="s">
        <v>798</v>
      </c>
      <c r="C276" s="45" t="s">
        <v>90</v>
      </c>
      <c r="D276" s="47">
        <v>2</v>
      </c>
      <c r="E276" s="47" t="s">
        <v>413</v>
      </c>
      <c r="F276" s="47" t="s">
        <v>418</v>
      </c>
      <c r="G276" s="47" t="s">
        <v>499</v>
      </c>
      <c r="H276" s="90" t="s">
        <v>573</v>
      </c>
      <c r="I276" s="48">
        <v>2</v>
      </c>
      <c r="J276" s="47" t="s">
        <v>458</v>
      </c>
      <c r="N276" t="s">
        <v>90</v>
      </c>
      <c r="O276" t="s">
        <v>90</v>
      </c>
      <c r="P276" t="s">
        <v>90</v>
      </c>
      <c r="Q276" t="s">
        <v>90</v>
      </c>
      <c r="R276" t="s">
        <v>90</v>
      </c>
      <c r="S276" t="s">
        <v>90</v>
      </c>
      <c r="T276" t="s">
        <v>90</v>
      </c>
      <c r="U276" t="s">
        <v>90</v>
      </c>
      <c r="V276" t="s">
        <v>90</v>
      </c>
    </row>
    <row r="277" spans="1:22" ht="20">
      <c r="A277" s="46">
        <v>37345</v>
      </c>
      <c r="B277" s="45" t="s">
        <v>799</v>
      </c>
      <c r="C277" s="45" t="s">
        <v>90</v>
      </c>
      <c r="D277" s="47">
        <v>2</v>
      </c>
      <c r="E277" s="47" t="s">
        <v>47</v>
      </c>
      <c r="F277" s="47" t="s">
        <v>419</v>
      </c>
      <c r="G277" s="47">
        <v>5</v>
      </c>
      <c r="H277" s="90" t="s">
        <v>574</v>
      </c>
      <c r="I277" s="48">
        <v>1</v>
      </c>
      <c r="J277" s="47" t="s">
        <v>458</v>
      </c>
      <c r="N277" t="s">
        <v>90</v>
      </c>
      <c r="O277" t="s">
        <v>90</v>
      </c>
      <c r="P277" t="s">
        <v>90</v>
      </c>
      <c r="Q277" t="s">
        <v>90</v>
      </c>
      <c r="R277" t="s">
        <v>90</v>
      </c>
      <c r="S277" t="s">
        <v>90</v>
      </c>
      <c r="T277" t="s">
        <v>90</v>
      </c>
      <c r="U277" t="s">
        <v>90</v>
      </c>
      <c r="V277" t="s">
        <v>90</v>
      </c>
    </row>
    <row r="278" spans="1:22" ht="20">
      <c r="A278" s="46">
        <v>37346</v>
      </c>
      <c r="B278" s="45" t="s">
        <v>800</v>
      </c>
      <c r="C278" s="45" t="s">
        <v>90</v>
      </c>
      <c r="D278" s="47">
        <v>2</v>
      </c>
      <c r="E278" s="47" t="s">
        <v>413</v>
      </c>
      <c r="F278" s="47" t="s">
        <v>419</v>
      </c>
      <c r="G278" s="47">
        <v>4</v>
      </c>
      <c r="H278" s="90" t="s">
        <v>575</v>
      </c>
      <c r="I278" s="48">
        <v>2</v>
      </c>
      <c r="J278" s="47" t="s">
        <v>458</v>
      </c>
      <c r="N278" t="s">
        <v>90</v>
      </c>
      <c r="O278" t="s">
        <v>90</v>
      </c>
      <c r="P278" t="s">
        <v>90</v>
      </c>
      <c r="Q278" t="s">
        <v>90</v>
      </c>
      <c r="R278" t="s">
        <v>90</v>
      </c>
      <c r="S278" t="s">
        <v>90</v>
      </c>
      <c r="T278" t="s">
        <v>90</v>
      </c>
      <c r="U278" t="s">
        <v>90</v>
      </c>
      <c r="V278" t="s">
        <v>90</v>
      </c>
    </row>
    <row r="279" spans="1:22" ht="20">
      <c r="A279" s="46">
        <v>37347</v>
      </c>
      <c r="B279" s="45" t="s">
        <v>801</v>
      </c>
      <c r="C279" s="45" t="s">
        <v>90</v>
      </c>
      <c r="D279" s="47">
        <v>2</v>
      </c>
      <c r="E279" s="47" t="s">
        <v>416</v>
      </c>
      <c r="F279" s="47" t="s">
        <v>420</v>
      </c>
      <c r="G279" s="47">
        <v>3</v>
      </c>
      <c r="H279" s="90" t="s">
        <v>576</v>
      </c>
      <c r="I279" s="48" t="s">
        <v>455</v>
      </c>
      <c r="J279" s="47" t="s">
        <v>460</v>
      </c>
      <c r="N279" t="s">
        <v>90</v>
      </c>
      <c r="O279" t="s">
        <v>90</v>
      </c>
      <c r="P279" t="s">
        <v>90</v>
      </c>
      <c r="Q279" t="s">
        <v>90</v>
      </c>
      <c r="R279" t="s">
        <v>90</v>
      </c>
      <c r="S279" t="s">
        <v>90</v>
      </c>
      <c r="T279" t="s">
        <v>90</v>
      </c>
      <c r="U279" t="s">
        <v>90</v>
      </c>
      <c r="V279" t="s">
        <v>90</v>
      </c>
    </row>
    <row r="280" spans="1:22" ht="20">
      <c r="A280" s="46">
        <v>37348</v>
      </c>
      <c r="B280" s="45" t="s">
        <v>802</v>
      </c>
      <c r="C280" s="45" t="s">
        <v>90</v>
      </c>
      <c r="D280" s="47">
        <v>2</v>
      </c>
      <c r="E280" s="47" t="s">
        <v>469</v>
      </c>
      <c r="F280" s="47" t="s">
        <v>420</v>
      </c>
      <c r="G280" s="47">
        <v>3</v>
      </c>
      <c r="H280" s="90" t="s">
        <v>577</v>
      </c>
      <c r="I280" s="48" t="s">
        <v>455</v>
      </c>
      <c r="J280" s="47" t="s">
        <v>460</v>
      </c>
      <c r="N280" t="s">
        <v>90</v>
      </c>
      <c r="O280" t="s">
        <v>90</v>
      </c>
      <c r="P280" t="s">
        <v>90</v>
      </c>
      <c r="Q280" t="s">
        <v>90</v>
      </c>
      <c r="R280" t="s">
        <v>90</v>
      </c>
      <c r="S280" t="s">
        <v>90</v>
      </c>
      <c r="T280" t="s">
        <v>90</v>
      </c>
      <c r="U280" t="s">
        <v>90</v>
      </c>
      <c r="V280" t="s">
        <v>90</v>
      </c>
    </row>
    <row r="281" spans="1:22" ht="20">
      <c r="A281" s="46">
        <v>37349</v>
      </c>
      <c r="B281" s="45" t="s">
        <v>803</v>
      </c>
      <c r="C281" s="45" t="s">
        <v>90</v>
      </c>
      <c r="D281" s="47">
        <v>2</v>
      </c>
      <c r="E281" s="47" t="s">
        <v>469</v>
      </c>
      <c r="F281" s="47" t="s">
        <v>419</v>
      </c>
      <c r="G281" s="47">
        <v>4</v>
      </c>
      <c r="H281" s="90" t="s">
        <v>578</v>
      </c>
      <c r="I281" s="48" t="s">
        <v>455</v>
      </c>
      <c r="J281" s="47" t="s">
        <v>203</v>
      </c>
      <c r="N281" t="s">
        <v>90</v>
      </c>
      <c r="O281" t="s">
        <v>90</v>
      </c>
      <c r="P281" t="s">
        <v>90</v>
      </c>
      <c r="Q281" t="s">
        <v>90</v>
      </c>
      <c r="R281" t="s">
        <v>90</v>
      </c>
      <c r="S281" t="s">
        <v>90</v>
      </c>
      <c r="T281" t="s">
        <v>90</v>
      </c>
      <c r="U281" t="s">
        <v>90</v>
      </c>
      <c r="V281" t="s">
        <v>90</v>
      </c>
    </row>
    <row r="282" spans="1:22" ht="20">
      <c r="A282" s="46">
        <v>37350</v>
      </c>
      <c r="B282" s="45" t="s">
        <v>804</v>
      </c>
      <c r="C282" s="45" t="s">
        <v>90</v>
      </c>
      <c r="D282" s="47">
        <v>2</v>
      </c>
      <c r="E282" s="47" t="s">
        <v>469</v>
      </c>
      <c r="F282" s="47" t="s">
        <v>419</v>
      </c>
      <c r="G282" s="47">
        <v>4</v>
      </c>
      <c r="H282" s="90" t="s">
        <v>579</v>
      </c>
      <c r="I282" s="48" t="s">
        <v>455</v>
      </c>
      <c r="J282" s="47" t="s">
        <v>460</v>
      </c>
      <c r="N282" t="s">
        <v>90</v>
      </c>
      <c r="O282" t="s">
        <v>90</v>
      </c>
      <c r="P282" t="s">
        <v>90</v>
      </c>
      <c r="Q282" t="s">
        <v>90</v>
      </c>
      <c r="R282" t="s">
        <v>90</v>
      </c>
      <c r="S282" t="s">
        <v>90</v>
      </c>
      <c r="T282" t="s">
        <v>90</v>
      </c>
      <c r="U282" t="s">
        <v>90</v>
      </c>
      <c r="V282" t="s">
        <v>90</v>
      </c>
    </row>
    <row r="283" spans="1:22" ht="20">
      <c r="A283" s="46">
        <v>37351</v>
      </c>
      <c r="B283" s="45" t="s">
        <v>805</v>
      </c>
      <c r="C283" s="45" t="s">
        <v>90</v>
      </c>
      <c r="D283" s="47">
        <v>2</v>
      </c>
      <c r="E283" s="47" t="s">
        <v>469</v>
      </c>
      <c r="F283" s="47" t="s">
        <v>466</v>
      </c>
      <c r="G283" s="47">
        <v>5</v>
      </c>
      <c r="H283" s="90" t="s">
        <v>580</v>
      </c>
      <c r="I283" s="48" t="s">
        <v>455</v>
      </c>
      <c r="J283" s="47" t="s">
        <v>460</v>
      </c>
      <c r="N283" t="s">
        <v>90</v>
      </c>
      <c r="O283" t="s">
        <v>90</v>
      </c>
      <c r="P283" t="s">
        <v>90</v>
      </c>
      <c r="Q283" t="s">
        <v>90</v>
      </c>
      <c r="R283" t="s">
        <v>90</v>
      </c>
      <c r="S283" t="s">
        <v>90</v>
      </c>
      <c r="T283" t="s">
        <v>90</v>
      </c>
      <c r="U283" t="s">
        <v>90</v>
      </c>
      <c r="V283" t="s">
        <v>90</v>
      </c>
    </row>
    <row r="284" spans="1:22" ht="20">
      <c r="A284" s="46">
        <v>37352</v>
      </c>
      <c r="B284" s="45" t="s">
        <v>806</v>
      </c>
      <c r="C284" s="45" t="s">
        <v>90</v>
      </c>
      <c r="D284" s="47">
        <v>2</v>
      </c>
      <c r="E284" s="47" t="s">
        <v>469</v>
      </c>
      <c r="F284" s="47" t="s">
        <v>419</v>
      </c>
      <c r="G284" s="47">
        <v>5</v>
      </c>
      <c r="H284" s="90" t="s">
        <v>581</v>
      </c>
      <c r="I284" s="48" t="s">
        <v>455</v>
      </c>
      <c r="J284" s="47" t="s">
        <v>460</v>
      </c>
      <c r="N284" t="s">
        <v>90</v>
      </c>
      <c r="O284" t="s">
        <v>90</v>
      </c>
      <c r="P284" t="s">
        <v>90</v>
      </c>
      <c r="Q284" t="s">
        <v>90</v>
      </c>
      <c r="R284" t="s">
        <v>90</v>
      </c>
      <c r="S284" t="s">
        <v>90</v>
      </c>
      <c r="T284" t="s">
        <v>90</v>
      </c>
      <c r="U284" t="s">
        <v>90</v>
      </c>
      <c r="V284" t="s">
        <v>90</v>
      </c>
    </row>
    <row r="285" spans="1:22" ht="20">
      <c r="A285" s="46">
        <v>37363</v>
      </c>
      <c r="B285" s="45" t="s">
        <v>807</v>
      </c>
      <c r="C285" s="45" t="s">
        <v>90</v>
      </c>
      <c r="D285" s="47">
        <v>2</v>
      </c>
      <c r="E285" s="47" t="s">
        <v>469</v>
      </c>
      <c r="F285" s="47" t="s">
        <v>445</v>
      </c>
      <c r="G285" s="47">
        <v>4</v>
      </c>
      <c r="H285" s="90" t="s">
        <v>582</v>
      </c>
      <c r="I285" s="48">
        <v>2</v>
      </c>
      <c r="J285" s="47" t="s">
        <v>458</v>
      </c>
      <c r="N285" t="s">
        <v>90</v>
      </c>
      <c r="O285" t="s">
        <v>90</v>
      </c>
      <c r="P285" t="s">
        <v>90</v>
      </c>
      <c r="Q285" t="s">
        <v>90</v>
      </c>
      <c r="R285" t="s">
        <v>90</v>
      </c>
      <c r="S285" t="s">
        <v>90</v>
      </c>
      <c r="T285" t="s">
        <v>90</v>
      </c>
      <c r="U285" t="s">
        <v>90</v>
      </c>
      <c r="V285" t="s">
        <v>90</v>
      </c>
    </row>
    <row r="286" spans="1:22" ht="20">
      <c r="A286" s="46">
        <v>37364</v>
      </c>
      <c r="B286" s="45" t="s">
        <v>808</v>
      </c>
      <c r="C286" s="45" t="s">
        <v>90</v>
      </c>
      <c r="D286" s="47">
        <v>2</v>
      </c>
      <c r="E286" s="47" t="s">
        <v>413</v>
      </c>
      <c r="F286" s="47" t="s">
        <v>445</v>
      </c>
      <c r="G286" s="47">
        <v>4</v>
      </c>
      <c r="H286" s="90" t="s">
        <v>583</v>
      </c>
      <c r="I286" s="48">
        <v>2</v>
      </c>
      <c r="J286" s="47" t="s">
        <v>458</v>
      </c>
      <c r="N286" t="s">
        <v>90</v>
      </c>
      <c r="O286" t="s">
        <v>90</v>
      </c>
      <c r="P286" t="s">
        <v>90</v>
      </c>
      <c r="Q286" t="s">
        <v>90</v>
      </c>
      <c r="R286" t="s">
        <v>90</v>
      </c>
      <c r="S286" t="s">
        <v>90</v>
      </c>
      <c r="T286" t="s">
        <v>90</v>
      </c>
      <c r="U286" t="s">
        <v>90</v>
      </c>
      <c r="V286" t="s">
        <v>90</v>
      </c>
    </row>
    <row r="287" spans="1:22" ht="20">
      <c r="A287" s="46">
        <v>38111</v>
      </c>
      <c r="B287" s="45" t="s">
        <v>809</v>
      </c>
      <c r="C287" s="45" t="s">
        <v>90</v>
      </c>
      <c r="D287" s="47">
        <v>1</v>
      </c>
      <c r="E287" s="47" t="s">
        <v>464</v>
      </c>
      <c r="F287" s="47" t="s">
        <v>464</v>
      </c>
      <c r="G287" s="47" t="s">
        <v>464</v>
      </c>
      <c r="H287" s="90" t="s">
        <v>584</v>
      </c>
      <c r="I287" s="48">
        <v>2</v>
      </c>
      <c r="J287" s="47" t="s">
        <v>460</v>
      </c>
      <c r="N287" t="s">
        <v>90</v>
      </c>
      <c r="O287" t="s">
        <v>90</v>
      </c>
      <c r="P287" t="s">
        <v>90</v>
      </c>
      <c r="Q287" t="s">
        <v>90</v>
      </c>
      <c r="R287" t="s">
        <v>90</v>
      </c>
      <c r="S287" t="s">
        <v>90</v>
      </c>
      <c r="T287" t="s">
        <v>90</v>
      </c>
      <c r="U287" t="s">
        <v>90</v>
      </c>
      <c r="V287" t="s">
        <v>90</v>
      </c>
    </row>
    <row r="288" spans="1:22" ht="20">
      <c r="A288" s="46">
        <v>38112</v>
      </c>
      <c r="B288" s="45" t="s">
        <v>810</v>
      </c>
      <c r="C288" s="45" t="s">
        <v>90</v>
      </c>
      <c r="D288" s="47">
        <v>1</v>
      </c>
      <c r="E288" s="47" t="s">
        <v>464</v>
      </c>
      <c r="F288" s="47" t="s">
        <v>464</v>
      </c>
      <c r="G288" s="47" t="s">
        <v>464</v>
      </c>
      <c r="H288" s="90" t="s">
        <v>585</v>
      </c>
      <c r="I288" s="48">
        <v>2</v>
      </c>
      <c r="J288" s="47" t="s">
        <v>460</v>
      </c>
      <c r="N288" t="s">
        <v>90</v>
      </c>
      <c r="O288" t="s">
        <v>90</v>
      </c>
      <c r="P288" t="s">
        <v>90</v>
      </c>
      <c r="Q288" t="s">
        <v>90</v>
      </c>
      <c r="R288" t="s">
        <v>90</v>
      </c>
      <c r="S288" t="s">
        <v>90</v>
      </c>
      <c r="T288" t="s">
        <v>90</v>
      </c>
      <c r="U288" t="s">
        <v>90</v>
      </c>
      <c r="V288" t="s">
        <v>90</v>
      </c>
    </row>
    <row r="289" spans="1:26" ht="20">
      <c r="A289" s="46">
        <v>37353</v>
      </c>
      <c r="B289" s="45" t="s">
        <v>811</v>
      </c>
      <c r="C289" s="45" t="s">
        <v>90</v>
      </c>
      <c r="D289" s="47">
        <v>2</v>
      </c>
      <c r="E289" s="47" t="s">
        <v>416</v>
      </c>
      <c r="F289" s="47" t="s">
        <v>420</v>
      </c>
      <c r="G289" s="47">
        <v>3</v>
      </c>
      <c r="H289" s="90" t="s">
        <v>586</v>
      </c>
      <c r="I289" s="48" t="s">
        <v>500</v>
      </c>
      <c r="J289" s="47" t="s">
        <v>203</v>
      </c>
      <c r="N289" t="s">
        <v>90</v>
      </c>
      <c r="O289" t="s">
        <v>90</v>
      </c>
      <c r="P289" t="s">
        <v>90</v>
      </c>
      <c r="Q289" t="s">
        <v>90</v>
      </c>
      <c r="R289" t="s">
        <v>90</v>
      </c>
      <c r="S289" t="s">
        <v>90</v>
      </c>
      <c r="T289" t="s">
        <v>90</v>
      </c>
      <c r="U289" t="s">
        <v>90</v>
      </c>
      <c r="V289" t="s">
        <v>90</v>
      </c>
    </row>
    <row r="290" spans="1:26" ht="20">
      <c r="A290" s="46">
        <v>37354</v>
      </c>
      <c r="B290" s="45" t="s">
        <v>812</v>
      </c>
      <c r="C290" s="45" t="s">
        <v>90</v>
      </c>
      <c r="D290" s="47">
        <v>2</v>
      </c>
      <c r="E290" s="47" t="s">
        <v>469</v>
      </c>
      <c r="F290" s="47" t="s">
        <v>433</v>
      </c>
      <c r="G290" s="47">
        <v>3</v>
      </c>
      <c r="H290" s="90" t="s">
        <v>587</v>
      </c>
      <c r="I290" s="48" t="s">
        <v>500</v>
      </c>
      <c r="J290" s="47" t="s">
        <v>460</v>
      </c>
      <c r="N290" t="s">
        <v>90</v>
      </c>
      <c r="O290" t="s">
        <v>90</v>
      </c>
      <c r="P290" t="s">
        <v>90</v>
      </c>
      <c r="Q290" t="s">
        <v>90</v>
      </c>
      <c r="R290" t="s">
        <v>90</v>
      </c>
      <c r="S290" t="s">
        <v>90</v>
      </c>
      <c r="T290" t="s">
        <v>90</v>
      </c>
      <c r="U290" t="s">
        <v>90</v>
      </c>
      <c r="V290" t="s">
        <v>90</v>
      </c>
    </row>
    <row r="291" spans="1:26" ht="20">
      <c r="A291" s="46">
        <v>37355</v>
      </c>
      <c r="B291" s="45" t="s">
        <v>813</v>
      </c>
      <c r="C291" s="45" t="s">
        <v>90</v>
      </c>
      <c r="D291" s="47">
        <v>2</v>
      </c>
      <c r="E291" s="47" t="s">
        <v>469</v>
      </c>
      <c r="F291" s="47" t="s">
        <v>419</v>
      </c>
      <c r="G291" s="47">
        <v>4</v>
      </c>
      <c r="H291" s="90" t="s">
        <v>588</v>
      </c>
      <c r="I291" s="48" t="s">
        <v>500</v>
      </c>
      <c r="J291" s="47" t="s">
        <v>460</v>
      </c>
      <c r="N291" t="s">
        <v>90</v>
      </c>
      <c r="O291" t="s">
        <v>90</v>
      </c>
      <c r="P291" t="s">
        <v>90</v>
      </c>
      <c r="Q291" t="s">
        <v>90</v>
      </c>
      <c r="R291" t="s">
        <v>90</v>
      </c>
      <c r="S291" t="s">
        <v>90</v>
      </c>
      <c r="T291" t="s">
        <v>90</v>
      </c>
      <c r="U291" t="s">
        <v>90</v>
      </c>
      <c r="V291" t="s">
        <v>90</v>
      </c>
    </row>
    <row r="292" spans="1:26" ht="20">
      <c r="A292" s="46">
        <v>37356</v>
      </c>
      <c r="B292" s="45" t="s">
        <v>814</v>
      </c>
      <c r="C292" s="45" t="s">
        <v>90</v>
      </c>
      <c r="D292" s="47">
        <v>2</v>
      </c>
      <c r="E292" s="47" t="s">
        <v>469</v>
      </c>
      <c r="F292" s="47" t="s">
        <v>419</v>
      </c>
      <c r="G292" s="47">
        <v>4</v>
      </c>
      <c r="H292" s="90" t="s">
        <v>589</v>
      </c>
      <c r="I292" s="48" t="s">
        <v>500</v>
      </c>
      <c r="J292" s="47" t="s">
        <v>460</v>
      </c>
      <c r="N292" t="s">
        <v>90</v>
      </c>
      <c r="O292" t="s">
        <v>90</v>
      </c>
      <c r="P292" t="s">
        <v>90</v>
      </c>
      <c r="Q292" t="s">
        <v>90</v>
      </c>
      <c r="R292" t="s">
        <v>90</v>
      </c>
      <c r="S292" t="s">
        <v>90</v>
      </c>
      <c r="T292" t="s">
        <v>90</v>
      </c>
      <c r="U292" t="s">
        <v>90</v>
      </c>
      <c r="V292" t="s">
        <v>90</v>
      </c>
    </row>
    <row r="293" spans="1:26" ht="20">
      <c r="A293" s="46">
        <v>37357</v>
      </c>
      <c r="B293" s="45" t="s">
        <v>815</v>
      </c>
      <c r="C293" s="45" t="s">
        <v>90</v>
      </c>
      <c r="D293" s="47">
        <v>2</v>
      </c>
      <c r="E293" s="47" t="s">
        <v>469</v>
      </c>
      <c r="F293" s="47" t="s">
        <v>470</v>
      </c>
      <c r="G293" s="47">
        <v>5</v>
      </c>
      <c r="H293" s="90" t="s">
        <v>590</v>
      </c>
      <c r="I293" s="48" t="s">
        <v>500</v>
      </c>
      <c r="J293" s="47" t="s">
        <v>203</v>
      </c>
      <c r="N293" t="s">
        <v>90</v>
      </c>
      <c r="O293" t="s">
        <v>90</v>
      </c>
      <c r="P293" t="s">
        <v>90</v>
      </c>
      <c r="Q293" t="s">
        <v>90</v>
      </c>
      <c r="R293" t="s">
        <v>90</v>
      </c>
      <c r="S293" t="s">
        <v>90</v>
      </c>
      <c r="T293" t="s">
        <v>90</v>
      </c>
      <c r="U293" t="s">
        <v>90</v>
      </c>
      <c r="V293" t="s">
        <v>90</v>
      </c>
    </row>
    <row r="294" spans="1:26" ht="20">
      <c r="A294" s="46">
        <v>37358</v>
      </c>
      <c r="B294" s="45" t="s">
        <v>816</v>
      </c>
      <c r="C294" s="45" t="s">
        <v>90</v>
      </c>
      <c r="D294" s="47">
        <v>2</v>
      </c>
      <c r="E294" s="47" t="s">
        <v>469</v>
      </c>
      <c r="F294" s="47" t="s">
        <v>470</v>
      </c>
      <c r="G294" s="47">
        <v>5</v>
      </c>
      <c r="H294" s="90" t="s">
        <v>591</v>
      </c>
      <c r="I294" s="48" t="s">
        <v>500</v>
      </c>
      <c r="J294" s="47" t="s">
        <v>460</v>
      </c>
      <c r="N294" t="s">
        <v>90</v>
      </c>
      <c r="O294" t="s">
        <v>90</v>
      </c>
      <c r="P294" t="s">
        <v>90</v>
      </c>
      <c r="Q294" t="s">
        <v>90</v>
      </c>
      <c r="R294" t="s">
        <v>90</v>
      </c>
      <c r="S294" t="s">
        <v>90</v>
      </c>
      <c r="T294" t="s">
        <v>90</v>
      </c>
      <c r="U294" t="s">
        <v>90</v>
      </c>
      <c r="V294" t="s">
        <v>90</v>
      </c>
      <c r="W294" s="45"/>
      <c r="X294" s="45"/>
      <c r="Y294" s="45"/>
      <c r="Z294" s="45"/>
    </row>
    <row r="295" spans="1:26" ht="20">
      <c r="A295" s="46">
        <v>37359</v>
      </c>
      <c r="B295" s="45" t="s">
        <v>817</v>
      </c>
      <c r="C295" s="45" t="s">
        <v>90</v>
      </c>
      <c r="D295" s="47">
        <v>2</v>
      </c>
      <c r="E295" s="47" t="s">
        <v>486</v>
      </c>
      <c r="F295" s="47" t="s">
        <v>417</v>
      </c>
      <c r="G295" s="47">
        <v>2</v>
      </c>
      <c r="H295" s="90" t="s">
        <v>592</v>
      </c>
      <c r="I295" s="48" t="s">
        <v>500</v>
      </c>
      <c r="J295" s="47" t="s">
        <v>460</v>
      </c>
      <c r="N295" t="s">
        <v>90</v>
      </c>
      <c r="O295" t="s">
        <v>90</v>
      </c>
      <c r="P295" t="s">
        <v>90</v>
      </c>
      <c r="Q295" t="s">
        <v>90</v>
      </c>
      <c r="R295" t="s">
        <v>90</v>
      </c>
      <c r="S295" t="s">
        <v>90</v>
      </c>
      <c r="T295" t="s">
        <v>90</v>
      </c>
      <c r="U295" t="s">
        <v>90</v>
      </c>
      <c r="V295" t="s">
        <v>90</v>
      </c>
      <c r="W295" s="45"/>
      <c r="X295" s="45"/>
      <c r="Y295" s="45"/>
      <c r="Z295" s="45"/>
    </row>
    <row r="296" spans="1:26" ht="20">
      <c r="A296" s="46">
        <v>37360</v>
      </c>
      <c r="B296" s="45" t="s">
        <v>818</v>
      </c>
      <c r="C296" s="45" t="s">
        <v>90</v>
      </c>
      <c r="D296" s="47">
        <v>2</v>
      </c>
      <c r="E296" s="47" t="s">
        <v>467</v>
      </c>
      <c r="F296" s="47" t="s">
        <v>417</v>
      </c>
      <c r="G296" s="58" t="s">
        <v>495</v>
      </c>
      <c r="H296" s="90" t="s">
        <v>593</v>
      </c>
      <c r="I296" s="48" t="s">
        <v>500</v>
      </c>
      <c r="J296" s="47" t="s">
        <v>460</v>
      </c>
      <c r="N296" t="s">
        <v>90</v>
      </c>
      <c r="O296" t="s">
        <v>90</v>
      </c>
      <c r="P296" t="s">
        <v>90</v>
      </c>
      <c r="Q296" t="s">
        <v>90</v>
      </c>
      <c r="R296" t="s">
        <v>90</v>
      </c>
      <c r="S296" t="s">
        <v>90</v>
      </c>
      <c r="T296" t="s">
        <v>90</v>
      </c>
      <c r="U296" t="s">
        <v>90</v>
      </c>
      <c r="V296" t="s">
        <v>90</v>
      </c>
      <c r="W296" s="45"/>
      <c r="X296" s="45"/>
      <c r="Y296" s="45"/>
      <c r="Z296" s="45"/>
    </row>
    <row r="297" spans="1:26" ht="20">
      <c r="A297" s="46">
        <v>38019</v>
      </c>
      <c r="B297" s="45" t="s">
        <v>673</v>
      </c>
      <c r="C297" s="45"/>
      <c r="D297" s="47">
        <v>4</v>
      </c>
      <c r="E297" s="47"/>
      <c r="F297" s="47" t="s">
        <v>498</v>
      </c>
      <c r="G297" s="47"/>
      <c r="H297" s="90" t="s">
        <v>594</v>
      </c>
      <c r="I297" s="48">
        <v>4</v>
      </c>
      <c r="J297" s="47" t="s">
        <v>458</v>
      </c>
      <c r="N297" t="s">
        <v>90</v>
      </c>
      <c r="O297" t="s">
        <v>256</v>
      </c>
      <c r="P297" t="s">
        <v>90</v>
      </c>
      <c r="Q297" t="s">
        <v>90</v>
      </c>
      <c r="R297" t="s">
        <v>90</v>
      </c>
      <c r="S297" t="s">
        <v>90</v>
      </c>
      <c r="T297" t="s">
        <v>256</v>
      </c>
      <c r="U297" t="s">
        <v>256</v>
      </c>
      <c r="V297" t="s">
        <v>256</v>
      </c>
      <c r="W297" s="45"/>
      <c r="X297" s="45"/>
      <c r="Y297" s="45"/>
      <c r="Z297" s="45"/>
    </row>
    <row r="298" spans="1:26" ht="20">
      <c r="A298" s="46">
        <v>38109</v>
      </c>
      <c r="B298" s="45" t="s">
        <v>819</v>
      </c>
      <c r="C298" s="45" t="s">
        <v>90</v>
      </c>
      <c r="D298" s="47">
        <v>1</v>
      </c>
      <c r="E298" s="47" t="s">
        <v>501</v>
      </c>
      <c r="F298" s="47" t="s">
        <v>476</v>
      </c>
      <c r="G298" s="47">
        <v>3</v>
      </c>
      <c r="H298" s="90" t="s">
        <v>595</v>
      </c>
      <c r="I298" s="48">
        <v>1</v>
      </c>
      <c r="J298" s="47" t="s">
        <v>458</v>
      </c>
      <c r="N298" t="s">
        <v>90</v>
      </c>
      <c r="O298" t="s">
        <v>90</v>
      </c>
      <c r="P298" t="s">
        <v>90</v>
      </c>
      <c r="Q298" t="s">
        <v>90</v>
      </c>
      <c r="R298" t="s">
        <v>90</v>
      </c>
      <c r="S298" t="s">
        <v>90</v>
      </c>
      <c r="T298" t="s">
        <v>90</v>
      </c>
      <c r="U298" t="s">
        <v>90</v>
      </c>
      <c r="V298" t="s">
        <v>90</v>
      </c>
      <c r="W298" s="45"/>
      <c r="X298" s="45"/>
      <c r="Y298" s="45"/>
      <c r="Z298" s="45"/>
    </row>
    <row r="299" spans="1:26" ht="20">
      <c r="A299" s="46">
        <v>38110</v>
      </c>
      <c r="B299" s="45" t="s">
        <v>820</v>
      </c>
      <c r="C299" s="45" t="s">
        <v>90</v>
      </c>
      <c r="D299" s="47">
        <v>1</v>
      </c>
      <c r="E299" s="47" t="s">
        <v>475</v>
      </c>
      <c r="F299" s="47" t="s">
        <v>482</v>
      </c>
      <c r="G299" s="47">
        <v>3</v>
      </c>
      <c r="H299" s="90" t="s">
        <v>596</v>
      </c>
      <c r="I299" s="48">
        <v>1</v>
      </c>
      <c r="J299" s="47" t="s">
        <v>458</v>
      </c>
      <c r="N299" t="s">
        <v>90</v>
      </c>
      <c r="O299" t="s">
        <v>90</v>
      </c>
      <c r="P299" t="s">
        <v>90</v>
      </c>
      <c r="Q299" t="s">
        <v>90</v>
      </c>
      <c r="R299" t="s">
        <v>90</v>
      </c>
      <c r="S299" t="s">
        <v>90</v>
      </c>
      <c r="T299" t="s">
        <v>90</v>
      </c>
      <c r="U299" t="s">
        <v>90</v>
      </c>
      <c r="V299" t="s">
        <v>90</v>
      </c>
      <c r="W299" s="45"/>
      <c r="X299" s="45"/>
      <c r="Y299" s="45"/>
      <c r="Z299" s="45"/>
    </row>
    <row r="300" spans="1:26" ht="20">
      <c r="A300" s="46">
        <v>38111</v>
      </c>
      <c r="B300" s="45" t="s">
        <v>809</v>
      </c>
      <c r="C300" s="45" t="s">
        <v>90</v>
      </c>
      <c r="D300" s="47">
        <v>1</v>
      </c>
      <c r="E300" s="47" t="s">
        <v>464</v>
      </c>
      <c r="F300" s="47" t="s">
        <v>464</v>
      </c>
      <c r="G300" s="47" t="s">
        <v>464</v>
      </c>
      <c r="H300" s="90" t="s">
        <v>597</v>
      </c>
      <c r="I300" s="48">
        <v>2</v>
      </c>
      <c r="J300" s="47" t="s">
        <v>460</v>
      </c>
      <c r="N300" t="s">
        <v>90</v>
      </c>
      <c r="O300" t="s">
        <v>90</v>
      </c>
      <c r="P300" t="s">
        <v>90</v>
      </c>
      <c r="Q300" t="s">
        <v>90</v>
      </c>
      <c r="R300" t="s">
        <v>90</v>
      </c>
      <c r="S300" t="s">
        <v>90</v>
      </c>
      <c r="T300" t="s">
        <v>90</v>
      </c>
      <c r="U300" t="s">
        <v>90</v>
      </c>
      <c r="V300" t="s">
        <v>90</v>
      </c>
      <c r="W300" s="45"/>
      <c r="X300" s="45"/>
      <c r="Y300" s="45"/>
      <c r="Z300" s="45"/>
    </row>
    <row r="301" spans="1:26" ht="20">
      <c r="A301" s="46">
        <v>38112</v>
      </c>
      <c r="B301" s="45" t="s">
        <v>810</v>
      </c>
      <c r="C301" s="45" t="s">
        <v>90</v>
      </c>
      <c r="D301" s="47">
        <v>1</v>
      </c>
      <c r="E301" s="47" t="s">
        <v>464</v>
      </c>
      <c r="F301" s="47" t="s">
        <v>464</v>
      </c>
      <c r="G301" s="47" t="s">
        <v>464</v>
      </c>
      <c r="H301" s="90" t="s">
        <v>598</v>
      </c>
      <c r="I301" s="48">
        <v>2</v>
      </c>
      <c r="J301" s="47" t="s">
        <v>460</v>
      </c>
      <c r="N301" t="s">
        <v>90</v>
      </c>
      <c r="O301" t="s">
        <v>90</v>
      </c>
      <c r="P301" t="s">
        <v>90</v>
      </c>
      <c r="Q301" t="s">
        <v>90</v>
      </c>
      <c r="R301" t="s">
        <v>90</v>
      </c>
      <c r="S301" t="s">
        <v>90</v>
      </c>
      <c r="T301" t="s">
        <v>90</v>
      </c>
      <c r="U301" t="s">
        <v>90</v>
      </c>
      <c r="V301" t="s">
        <v>90</v>
      </c>
      <c r="W301" s="45"/>
      <c r="X301" s="45"/>
      <c r="Y301" s="45"/>
      <c r="Z301" s="45"/>
    </row>
    <row r="302" spans="1:26" ht="20">
      <c r="A302" s="46">
        <v>38113</v>
      </c>
      <c r="B302" s="45" t="s">
        <v>821</v>
      </c>
      <c r="C302" s="45" t="s">
        <v>90</v>
      </c>
      <c r="D302" s="47">
        <v>1</v>
      </c>
      <c r="E302" s="47" t="s">
        <v>464</v>
      </c>
      <c r="F302" s="47" t="s">
        <v>464</v>
      </c>
      <c r="G302" s="47" t="s">
        <v>464</v>
      </c>
      <c r="H302" s="90" t="s">
        <v>599</v>
      </c>
      <c r="I302" s="48">
        <v>2</v>
      </c>
      <c r="J302" s="47" t="s">
        <v>460</v>
      </c>
      <c r="N302" t="s">
        <v>90</v>
      </c>
      <c r="O302" t="s">
        <v>90</v>
      </c>
      <c r="P302" t="s">
        <v>90</v>
      </c>
      <c r="Q302" t="s">
        <v>90</v>
      </c>
      <c r="R302" t="s">
        <v>90</v>
      </c>
      <c r="S302" t="s">
        <v>90</v>
      </c>
      <c r="T302" t="s">
        <v>90</v>
      </c>
      <c r="U302" t="s">
        <v>90</v>
      </c>
      <c r="V302" t="s">
        <v>90</v>
      </c>
      <c r="W302" s="45"/>
      <c r="X302" s="45"/>
      <c r="Y302" s="45"/>
      <c r="Z302" s="45"/>
    </row>
    <row r="303" spans="1:26" ht="20">
      <c r="A303" s="46">
        <v>38114</v>
      </c>
      <c r="B303" s="45" t="s">
        <v>822</v>
      </c>
      <c r="C303" s="45"/>
      <c r="D303" s="47">
        <v>2</v>
      </c>
      <c r="E303" s="47" t="s">
        <v>464</v>
      </c>
      <c r="F303" s="47" t="s">
        <v>464</v>
      </c>
      <c r="G303" s="47" t="s">
        <v>464</v>
      </c>
      <c r="H303" s="90" t="s">
        <v>600</v>
      </c>
      <c r="I303" s="48">
        <v>2</v>
      </c>
      <c r="J303" s="47" t="s">
        <v>460</v>
      </c>
      <c r="N303" t="s">
        <v>90</v>
      </c>
      <c r="O303" t="s">
        <v>90</v>
      </c>
      <c r="P303" t="s">
        <v>90</v>
      </c>
      <c r="Q303" t="s">
        <v>90</v>
      </c>
      <c r="R303" t="s">
        <v>90</v>
      </c>
      <c r="S303" t="s">
        <v>90</v>
      </c>
      <c r="T303" t="s">
        <v>90</v>
      </c>
      <c r="U303" t="s">
        <v>90</v>
      </c>
      <c r="V303" t="s">
        <v>90</v>
      </c>
      <c r="W303" s="45"/>
      <c r="X303" s="45"/>
      <c r="Y303" s="45"/>
      <c r="Z303" s="45"/>
    </row>
    <row r="304" spans="1:26" ht="20">
      <c r="A304" s="46">
        <v>38115</v>
      </c>
      <c r="B304" s="45" t="s">
        <v>823</v>
      </c>
      <c r="C304" s="45"/>
      <c r="D304" s="47">
        <v>2</v>
      </c>
      <c r="E304" s="47" t="s">
        <v>477</v>
      </c>
      <c r="F304" s="47" t="s">
        <v>491</v>
      </c>
      <c r="G304" s="47"/>
      <c r="H304" s="90" t="s">
        <v>601</v>
      </c>
      <c r="I304" s="48">
        <v>1</v>
      </c>
      <c r="J304" s="47" t="s">
        <v>458</v>
      </c>
      <c r="N304" t="s">
        <v>90</v>
      </c>
      <c r="O304" t="s">
        <v>90</v>
      </c>
      <c r="P304" t="s">
        <v>90</v>
      </c>
      <c r="Q304" t="s">
        <v>90</v>
      </c>
      <c r="R304" t="s">
        <v>90</v>
      </c>
      <c r="S304" t="s">
        <v>90</v>
      </c>
      <c r="T304" t="s">
        <v>90</v>
      </c>
      <c r="U304" t="s">
        <v>90</v>
      </c>
      <c r="V304" t="s">
        <v>90</v>
      </c>
      <c r="W304" s="45"/>
      <c r="X304" s="45"/>
      <c r="Y304" s="45"/>
      <c r="Z304" s="45"/>
    </row>
    <row r="305" spans="1:26" ht="20">
      <c r="A305" s="46">
        <v>38116</v>
      </c>
      <c r="B305" s="45" t="s">
        <v>824</v>
      </c>
      <c r="C305" s="45" t="s">
        <v>90</v>
      </c>
      <c r="D305" s="47">
        <v>2</v>
      </c>
      <c r="E305" s="47" t="s">
        <v>464</v>
      </c>
      <c r="F305" s="47" t="s">
        <v>464</v>
      </c>
      <c r="G305" s="47" t="s">
        <v>464</v>
      </c>
      <c r="H305" s="90" t="s">
        <v>602</v>
      </c>
      <c r="I305" s="48">
        <v>2</v>
      </c>
      <c r="J305" s="47" t="s">
        <v>460</v>
      </c>
      <c r="N305" t="s">
        <v>90</v>
      </c>
      <c r="O305" t="s">
        <v>90</v>
      </c>
      <c r="P305" t="s">
        <v>90</v>
      </c>
      <c r="Q305" t="s">
        <v>90</v>
      </c>
      <c r="R305" t="s">
        <v>90</v>
      </c>
      <c r="S305" t="s">
        <v>90</v>
      </c>
      <c r="T305" t="s">
        <v>90</v>
      </c>
      <c r="U305" t="s">
        <v>90</v>
      </c>
      <c r="V305" t="s">
        <v>90</v>
      </c>
      <c r="W305" s="45"/>
      <c r="X305" s="45"/>
      <c r="Y305" s="45"/>
      <c r="Z305" s="45"/>
    </row>
    <row r="306" spans="1:26" ht="20">
      <c r="A306" s="46">
        <v>38117</v>
      </c>
      <c r="B306" s="45" t="s">
        <v>825</v>
      </c>
      <c r="C306" s="45"/>
      <c r="D306" s="47">
        <v>2</v>
      </c>
      <c r="E306" s="47" t="s">
        <v>464</v>
      </c>
      <c r="F306" s="47" t="s">
        <v>464</v>
      </c>
      <c r="G306" s="47" t="s">
        <v>464</v>
      </c>
      <c r="H306" s="90" t="s">
        <v>620</v>
      </c>
      <c r="I306" s="48">
        <v>3</v>
      </c>
      <c r="J306" s="47" t="s">
        <v>460</v>
      </c>
      <c r="N306" t="s">
        <v>90</v>
      </c>
      <c r="O306" t="s">
        <v>90</v>
      </c>
      <c r="P306" t="s">
        <v>90</v>
      </c>
      <c r="Q306" t="s">
        <v>90</v>
      </c>
      <c r="R306" t="s">
        <v>90</v>
      </c>
      <c r="S306" t="s">
        <v>90</v>
      </c>
      <c r="T306" t="s">
        <v>90</v>
      </c>
      <c r="U306" t="s">
        <v>90</v>
      </c>
      <c r="V306" t="s">
        <v>90</v>
      </c>
      <c r="W306" s="45"/>
      <c r="X306" s="45"/>
      <c r="Y306" s="45"/>
      <c r="Z306" s="45"/>
    </row>
    <row r="307" spans="1:26" ht="20">
      <c r="A307" s="46">
        <v>38118</v>
      </c>
      <c r="B307" s="45" t="s">
        <v>826</v>
      </c>
      <c r="C307" s="45" t="s">
        <v>90</v>
      </c>
      <c r="D307" s="47">
        <v>2</v>
      </c>
      <c r="E307" s="47" t="s">
        <v>464</v>
      </c>
      <c r="F307" s="47" t="s">
        <v>464</v>
      </c>
      <c r="G307" s="47" t="s">
        <v>464</v>
      </c>
      <c r="H307" s="90" t="s">
        <v>603</v>
      </c>
      <c r="I307" s="48">
        <v>3</v>
      </c>
      <c r="J307" s="47" t="s">
        <v>460</v>
      </c>
      <c r="N307" t="s">
        <v>90</v>
      </c>
      <c r="O307" t="s">
        <v>90</v>
      </c>
      <c r="P307" t="s">
        <v>90</v>
      </c>
      <c r="Q307" t="s">
        <v>90</v>
      </c>
      <c r="R307" t="s">
        <v>90</v>
      </c>
      <c r="S307" t="s">
        <v>90</v>
      </c>
      <c r="T307" t="s">
        <v>90</v>
      </c>
      <c r="U307" t="s">
        <v>90</v>
      </c>
      <c r="V307" t="s">
        <v>90</v>
      </c>
      <c r="W307" s="45"/>
      <c r="X307" s="45"/>
      <c r="Y307" s="45"/>
      <c r="Z307" s="45"/>
    </row>
    <row r="308" spans="1:26" ht="20">
      <c r="A308" s="46">
        <v>38119</v>
      </c>
      <c r="B308" s="45" t="s">
        <v>827</v>
      </c>
      <c r="C308" s="45" t="s">
        <v>90</v>
      </c>
      <c r="D308" s="47">
        <v>2</v>
      </c>
      <c r="E308" s="47" t="s">
        <v>477</v>
      </c>
      <c r="F308" s="47" t="s">
        <v>435</v>
      </c>
      <c r="G308" s="47">
        <v>3</v>
      </c>
      <c r="H308" s="90" t="s">
        <v>604</v>
      </c>
      <c r="I308" s="48">
        <v>1</v>
      </c>
      <c r="J308" s="47" t="s">
        <v>458</v>
      </c>
      <c r="N308" t="s">
        <v>90</v>
      </c>
      <c r="O308" t="s">
        <v>90</v>
      </c>
      <c r="P308" t="s">
        <v>90</v>
      </c>
      <c r="Q308" t="s">
        <v>90</v>
      </c>
      <c r="R308" t="s">
        <v>90</v>
      </c>
      <c r="S308" t="s">
        <v>90</v>
      </c>
      <c r="T308" t="s">
        <v>90</v>
      </c>
      <c r="U308" t="s">
        <v>90</v>
      </c>
      <c r="V308" t="s">
        <v>90</v>
      </c>
      <c r="W308" s="45"/>
      <c r="X308" s="45"/>
      <c r="Y308" s="45"/>
      <c r="Z308" s="45"/>
    </row>
    <row r="309" spans="1:26" ht="20">
      <c r="A309" s="46">
        <v>38120</v>
      </c>
      <c r="B309" s="45" t="s">
        <v>828</v>
      </c>
      <c r="C309" s="45" t="s">
        <v>90</v>
      </c>
      <c r="D309" s="47">
        <v>1</v>
      </c>
      <c r="E309" s="47" t="s">
        <v>475</v>
      </c>
      <c r="F309" s="47" t="s">
        <v>476</v>
      </c>
      <c r="G309" s="47">
        <v>3</v>
      </c>
      <c r="H309" s="90" t="s">
        <v>605</v>
      </c>
      <c r="I309" s="48">
        <v>1</v>
      </c>
      <c r="J309" s="47" t="s">
        <v>458</v>
      </c>
      <c r="N309" t="s">
        <v>90</v>
      </c>
      <c r="O309" t="s">
        <v>90</v>
      </c>
      <c r="P309" t="s">
        <v>90</v>
      </c>
      <c r="Q309" t="s">
        <v>90</v>
      </c>
      <c r="R309" t="s">
        <v>90</v>
      </c>
      <c r="S309" t="s">
        <v>90</v>
      </c>
      <c r="T309" t="s">
        <v>90</v>
      </c>
      <c r="U309" t="s">
        <v>90</v>
      </c>
      <c r="V309" t="s">
        <v>90</v>
      </c>
      <c r="W309" s="45"/>
      <c r="X309" s="45"/>
      <c r="Y309" s="45"/>
      <c r="Z309" s="45"/>
    </row>
    <row r="310" spans="1:26" ht="20">
      <c r="A310" s="46">
        <v>37362</v>
      </c>
      <c r="B310" s="45" t="s">
        <v>829</v>
      </c>
      <c r="C310" s="45" t="s">
        <v>90</v>
      </c>
      <c r="D310" s="47">
        <v>2</v>
      </c>
      <c r="E310" s="47" t="s">
        <v>464</v>
      </c>
      <c r="F310" s="47" t="s">
        <v>464</v>
      </c>
      <c r="G310" s="47" t="s">
        <v>464</v>
      </c>
      <c r="H310" s="90" t="s">
        <v>606</v>
      </c>
      <c r="I310" s="48">
        <v>2</v>
      </c>
      <c r="J310" s="47" t="s">
        <v>460</v>
      </c>
      <c r="N310" t="s">
        <v>90</v>
      </c>
      <c r="O310" t="s">
        <v>90</v>
      </c>
      <c r="P310" t="s">
        <v>90</v>
      </c>
      <c r="Q310" t="s">
        <v>90</v>
      </c>
      <c r="R310" t="s">
        <v>90</v>
      </c>
      <c r="S310" t="s">
        <v>90</v>
      </c>
      <c r="T310" t="s">
        <v>90</v>
      </c>
      <c r="U310" t="s">
        <v>90</v>
      </c>
      <c r="V310" t="s">
        <v>90</v>
      </c>
      <c r="W310" s="45"/>
      <c r="X310" s="45"/>
      <c r="Y310" s="45"/>
      <c r="Z310" s="45"/>
    </row>
    <row r="311" spans="1:26" ht="20">
      <c r="A311" s="46">
        <v>38121</v>
      </c>
      <c r="B311" s="45" t="s">
        <v>830</v>
      </c>
      <c r="C311" s="45" t="s">
        <v>90</v>
      </c>
      <c r="D311" s="47">
        <v>2</v>
      </c>
      <c r="E311" s="47" t="s">
        <v>464</v>
      </c>
      <c r="F311" s="47" t="s">
        <v>464</v>
      </c>
      <c r="G311" s="47" t="s">
        <v>464</v>
      </c>
      <c r="H311" s="90" t="s">
        <v>607</v>
      </c>
      <c r="I311" s="48" t="s">
        <v>502</v>
      </c>
      <c r="J311" s="47" t="s">
        <v>460</v>
      </c>
      <c r="N311" t="s">
        <v>90</v>
      </c>
      <c r="O311" t="s">
        <v>90</v>
      </c>
      <c r="P311" t="s">
        <v>90</v>
      </c>
      <c r="Q311" t="s">
        <v>90</v>
      </c>
      <c r="R311" t="s">
        <v>90</v>
      </c>
      <c r="S311" t="s">
        <v>90</v>
      </c>
      <c r="T311" t="s">
        <v>90</v>
      </c>
      <c r="U311" t="s">
        <v>90</v>
      </c>
      <c r="V311" t="s">
        <v>90</v>
      </c>
      <c r="W311" s="45"/>
      <c r="X311" s="45"/>
      <c r="Y311" s="45"/>
      <c r="Z311" s="45"/>
    </row>
    <row r="312" spans="1:26" ht="20">
      <c r="A312" s="46">
        <v>38122</v>
      </c>
      <c r="B312" s="45" t="s">
        <v>831</v>
      </c>
      <c r="C312" s="45" t="s">
        <v>90</v>
      </c>
      <c r="D312" s="47">
        <v>2</v>
      </c>
      <c r="E312" s="47" t="s">
        <v>477</v>
      </c>
      <c r="F312" s="47" t="s">
        <v>435</v>
      </c>
      <c r="G312" s="47">
        <v>5</v>
      </c>
      <c r="H312" s="90" t="s">
        <v>608</v>
      </c>
      <c r="I312" s="48" t="s">
        <v>502</v>
      </c>
      <c r="J312" s="47" t="s">
        <v>458</v>
      </c>
      <c r="N312" t="s">
        <v>90</v>
      </c>
      <c r="O312" t="s">
        <v>90</v>
      </c>
      <c r="P312" t="s">
        <v>90</v>
      </c>
      <c r="Q312" t="s">
        <v>90</v>
      </c>
      <c r="R312" t="s">
        <v>90</v>
      </c>
      <c r="S312" t="s">
        <v>90</v>
      </c>
      <c r="T312" t="s">
        <v>90</v>
      </c>
      <c r="U312" t="s">
        <v>90</v>
      </c>
      <c r="V312" t="s">
        <v>90</v>
      </c>
      <c r="W312" s="45"/>
      <c r="X312" s="45"/>
      <c r="Y312" s="45"/>
      <c r="Z312" s="45"/>
    </row>
    <row r="313" spans="1:26" ht="20">
      <c r="A313" s="46">
        <v>37343</v>
      </c>
      <c r="B313" s="45" t="s">
        <v>797</v>
      </c>
      <c r="C313" s="45" t="s">
        <v>90</v>
      </c>
      <c r="D313" s="47">
        <v>2</v>
      </c>
      <c r="E313" s="47" t="s">
        <v>47</v>
      </c>
      <c r="F313" s="47" t="s">
        <v>418</v>
      </c>
      <c r="G313" s="47" t="s">
        <v>499</v>
      </c>
      <c r="H313" s="90" t="s">
        <v>609</v>
      </c>
      <c r="I313" s="48">
        <v>1</v>
      </c>
      <c r="J313" s="47" t="s">
        <v>458</v>
      </c>
      <c r="N313" t="s">
        <v>90</v>
      </c>
      <c r="O313" t="s">
        <v>90</v>
      </c>
      <c r="P313" t="s">
        <v>90</v>
      </c>
      <c r="Q313" t="s">
        <v>90</v>
      </c>
      <c r="R313" t="s">
        <v>90</v>
      </c>
      <c r="S313" t="s">
        <v>90</v>
      </c>
      <c r="T313" t="s">
        <v>90</v>
      </c>
      <c r="U313" t="s">
        <v>90</v>
      </c>
      <c r="V313" t="s">
        <v>90</v>
      </c>
      <c r="W313" s="45"/>
      <c r="X313" s="45"/>
      <c r="Y313" s="45"/>
      <c r="Z313" s="45"/>
    </row>
    <row r="314" spans="1:26" ht="20">
      <c r="A314" s="46">
        <v>37345</v>
      </c>
      <c r="B314" s="45" t="s">
        <v>799</v>
      </c>
      <c r="C314" s="45"/>
      <c r="D314" s="47">
        <v>2</v>
      </c>
      <c r="E314" s="47" t="s">
        <v>47</v>
      </c>
      <c r="F314" s="47" t="s">
        <v>419</v>
      </c>
      <c r="G314" s="47">
        <v>5</v>
      </c>
      <c r="H314" s="90" t="s">
        <v>610</v>
      </c>
      <c r="I314" s="48">
        <v>1</v>
      </c>
      <c r="J314" s="47" t="s">
        <v>458</v>
      </c>
      <c r="N314" t="s">
        <v>90</v>
      </c>
      <c r="O314" t="s">
        <v>90</v>
      </c>
      <c r="P314" t="s">
        <v>90</v>
      </c>
      <c r="Q314" t="s">
        <v>90</v>
      </c>
      <c r="R314" t="s">
        <v>90</v>
      </c>
      <c r="S314" t="s">
        <v>90</v>
      </c>
      <c r="T314" t="s">
        <v>90</v>
      </c>
      <c r="U314" t="s">
        <v>90</v>
      </c>
      <c r="V314" t="s">
        <v>90</v>
      </c>
      <c r="W314" s="45"/>
      <c r="X314" s="45"/>
      <c r="Y314" s="45"/>
      <c r="Z314" s="45"/>
    </row>
    <row r="315" spans="1:26" ht="20">
      <c r="A315" s="46">
        <v>37346</v>
      </c>
      <c r="B315" s="45" t="s">
        <v>800</v>
      </c>
      <c r="C315" s="45" t="s">
        <v>90</v>
      </c>
      <c r="D315" s="47">
        <v>2</v>
      </c>
      <c r="E315" s="47" t="s">
        <v>413</v>
      </c>
      <c r="F315" s="47" t="s">
        <v>419</v>
      </c>
      <c r="G315" s="47">
        <v>4</v>
      </c>
      <c r="H315" s="90" t="s">
        <v>611</v>
      </c>
      <c r="I315" s="48">
        <v>2</v>
      </c>
      <c r="J315" s="47" t="s">
        <v>460</v>
      </c>
      <c r="N315" t="s">
        <v>90</v>
      </c>
      <c r="O315" t="s">
        <v>90</v>
      </c>
      <c r="P315" t="s">
        <v>90</v>
      </c>
      <c r="Q315" t="s">
        <v>90</v>
      </c>
      <c r="R315" t="s">
        <v>90</v>
      </c>
      <c r="S315" t="s">
        <v>90</v>
      </c>
      <c r="T315" t="s">
        <v>90</v>
      </c>
      <c r="U315" t="s">
        <v>90</v>
      </c>
      <c r="V315" t="s">
        <v>90</v>
      </c>
      <c r="W315" s="45"/>
      <c r="X315" s="45"/>
      <c r="Y315" s="45"/>
      <c r="Z315" s="45"/>
    </row>
    <row r="316" spans="1:26" ht="20">
      <c r="A316" s="46">
        <v>37368</v>
      </c>
      <c r="B316" s="45" t="s">
        <v>832</v>
      </c>
      <c r="C316" s="45" t="s">
        <v>90</v>
      </c>
      <c r="D316" s="47">
        <v>2</v>
      </c>
      <c r="E316" s="47" t="s">
        <v>464</v>
      </c>
      <c r="F316" s="47" t="s">
        <v>464</v>
      </c>
      <c r="G316" s="47" t="s">
        <v>464</v>
      </c>
      <c r="H316" s="90" t="s">
        <v>612</v>
      </c>
      <c r="I316" s="48">
        <v>3</v>
      </c>
      <c r="J316" s="47" t="s">
        <v>460</v>
      </c>
      <c r="N316" t="s">
        <v>90</v>
      </c>
      <c r="O316" t="s">
        <v>90</v>
      </c>
      <c r="P316" t="s">
        <v>90</v>
      </c>
      <c r="Q316" t="s">
        <v>90</v>
      </c>
      <c r="R316" t="s">
        <v>90</v>
      </c>
      <c r="S316" t="s">
        <v>90</v>
      </c>
      <c r="T316" t="s">
        <v>90</v>
      </c>
      <c r="U316" t="s">
        <v>90</v>
      </c>
      <c r="V316" t="s">
        <v>90</v>
      </c>
      <c r="W316" s="45"/>
      <c r="X316" s="45"/>
      <c r="Y316" s="45"/>
      <c r="Z316" s="45"/>
    </row>
    <row r="317" spans="1:26" ht="20">
      <c r="A317" s="46">
        <v>38123</v>
      </c>
      <c r="B317" s="45" t="s">
        <v>833</v>
      </c>
      <c r="C317" s="45"/>
      <c r="D317" s="47">
        <v>2</v>
      </c>
      <c r="E317" s="47" t="s">
        <v>464</v>
      </c>
      <c r="F317" s="47" t="s">
        <v>464</v>
      </c>
      <c r="G317" s="47" t="s">
        <v>464</v>
      </c>
      <c r="H317" s="90" t="s">
        <v>613</v>
      </c>
      <c r="I317" s="48">
        <v>2</v>
      </c>
      <c r="J317" s="47" t="s">
        <v>460</v>
      </c>
      <c r="N317" t="s">
        <v>90</v>
      </c>
      <c r="O317" t="s">
        <v>90</v>
      </c>
      <c r="P317" t="s">
        <v>90</v>
      </c>
      <c r="Q317" t="s">
        <v>90</v>
      </c>
      <c r="R317" t="s">
        <v>90</v>
      </c>
      <c r="S317" t="s">
        <v>90</v>
      </c>
      <c r="T317" t="s">
        <v>90</v>
      </c>
      <c r="U317" t="s">
        <v>90</v>
      </c>
      <c r="V317" t="s">
        <v>90</v>
      </c>
      <c r="W317" s="45"/>
      <c r="X317" s="45"/>
      <c r="Y317" s="45"/>
      <c r="Z317" s="45"/>
    </row>
    <row r="318" spans="1:26" ht="20">
      <c r="A318" s="46">
        <v>38124</v>
      </c>
      <c r="B318" s="45" t="s">
        <v>834</v>
      </c>
      <c r="C318" s="45"/>
      <c r="D318" s="47">
        <v>2</v>
      </c>
      <c r="E318" s="47" t="s">
        <v>464</v>
      </c>
      <c r="F318" s="47" t="s">
        <v>464</v>
      </c>
      <c r="G318" s="47" t="s">
        <v>464</v>
      </c>
      <c r="H318" s="90" t="s">
        <v>614</v>
      </c>
      <c r="I318" s="48">
        <v>3</v>
      </c>
      <c r="J318" s="47" t="s">
        <v>460</v>
      </c>
      <c r="N318" t="s">
        <v>90</v>
      </c>
      <c r="O318" t="s">
        <v>90</v>
      </c>
      <c r="P318" t="s">
        <v>90</v>
      </c>
      <c r="Q318" t="s">
        <v>90</v>
      </c>
      <c r="R318" t="s">
        <v>90</v>
      </c>
      <c r="S318" t="s">
        <v>90</v>
      </c>
      <c r="T318" t="s">
        <v>90</v>
      </c>
      <c r="U318" t="s">
        <v>90</v>
      </c>
      <c r="V318" t="s">
        <v>90</v>
      </c>
      <c r="W318" s="45"/>
      <c r="X318" s="45"/>
      <c r="Y318" s="45"/>
      <c r="Z318" s="45"/>
    </row>
    <row r="319" spans="1:26" ht="20">
      <c r="A319" s="46">
        <v>37359</v>
      </c>
      <c r="B319" s="45" t="s">
        <v>817</v>
      </c>
      <c r="C319" s="45" t="s">
        <v>90</v>
      </c>
      <c r="D319" s="47">
        <v>2</v>
      </c>
      <c r="E319" s="47" t="s">
        <v>486</v>
      </c>
      <c r="F319" s="47" t="s">
        <v>417</v>
      </c>
      <c r="G319" s="47">
        <v>2</v>
      </c>
      <c r="H319" s="90" t="s">
        <v>615</v>
      </c>
      <c r="I319" s="48">
        <v>3</v>
      </c>
      <c r="J319" s="47" t="s">
        <v>460</v>
      </c>
      <c r="N319" t="s">
        <v>90</v>
      </c>
      <c r="O319" t="s">
        <v>90</v>
      </c>
      <c r="P319" t="s">
        <v>90</v>
      </c>
      <c r="Q319" t="s">
        <v>90</v>
      </c>
      <c r="R319" t="s">
        <v>90</v>
      </c>
      <c r="S319" t="s">
        <v>90</v>
      </c>
      <c r="T319" t="s">
        <v>90</v>
      </c>
      <c r="U319" t="s">
        <v>90</v>
      </c>
      <c r="V319" t="s">
        <v>90</v>
      </c>
      <c r="W319" s="45"/>
      <c r="X319" s="45"/>
      <c r="Y319" s="45"/>
      <c r="Z319" s="45"/>
    </row>
    <row r="320" spans="1:26" ht="20">
      <c r="A320" s="46">
        <v>37360</v>
      </c>
      <c r="B320" s="45" t="s">
        <v>818</v>
      </c>
      <c r="C320" s="45" t="s">
        <v>90</v>
      </c>
      <c r="D320" s="47">
        <v>2</v>
      </c>
      <c r="E320" s="47" t="s">
        <v>467</v>
      </c>
      <c r="F320" s="47" t="s">
        <v>417</v>
      </c>
      <c r="G320" s="58" t="s">
        <v>495</v>
      </c>
      <c r="H320" s="90" t="s">
        <v>616</v>
      </c>
      <c r="I320" s="48">
        <v>4</v>
      </c>
      <c r="J320" s="47" t="s">
        <v>460</v>
      </c>
      <c r="N320" t="s">
        <v>90</v>
      </c>
      <c r="O320" t="s">
        <v>90</v>
      </c>
      <c r="P320" t="s">
        <v>90</v>
      </c>
      <c r="Q320" t="s">
        <v>90</v>
      </c>
      <c r="R320" t="s">
        <v>90</v>
      </c>
      <c r="S320" t="s">
        <v>90</v>
      </c>
      <c r="T320" t="s">
        <v>90</v>
      </c>
      <c r="U320" t="s">
        <v>90</v>
      </c>
      <c r="V320" t="s">
        <v>90</v>
      </c>
      <c r="W320" s="45"/>
      <c r="X320" s="45"/>
      <c r="Y320" s="45"/>
      <c r="Z320" s="45"/>
    </row>
    <row r="321" spans="1:26" ht="20">
      <c r="A321" s="46">
        <v>38019</v>
      </c>
      <c r="B321" s="45" t="s">
        <v>673</v>
      </c>
      <c r="C321" s="45"/>
      <c r="D321" s="47">
        <v>4</v>
      </c>
      <c r="E321" s="47"/>
      <c r="F321" s="47" t="s">
        <v>498</v>
      </c>
      <c r="G321" s="47"/>
      <c r="H321" s="90" t="s">
        <v>617</v>
      </c>
      <c r="I321" s="48">
        <v>4</v>
      </c>
      <c r="J321" s="47" t="s">
        <v>460</v>
      </c>
      <c r="N321" t="s">
        <v>90</v>
      </c>
      <c r="O321" t="s">
        <v>256</v>
      </c>
      <c r="P321" t="s">
        <v>90</v>
      </c>
      <c r="Q321" t="s">
        <v>90</v>
      </c>
      <c r="R321" t="s">
        <v>90</v>
      </c>
      <c r="S321" t="s">
        <v>90</v>
      </c>
      <c r="T321" t="s">
        <v>256</v>
      </c>
      <c r="U321" t="s">
        <v>256</v>
      </c>
      <c r="V321" t="s">
        <v>256</v>
      </c>
      <c r="W321" s="45"/>
      <c r="X321" s="45"/>
      <c r="Y321" s="45"/>
      <c r="Z321" s="45"/>
    </row>
    <row r="322" spans="1:26" ht="20">
      <c r="A322" s="46">
        <v>37375</v>
      </c>
      <c r="B322" s="45" t="s">
        <v>835</v>
      </c>
      <c r="C322" s="45" t="s">
        <v>90</v>
      </c>
      <c r="D322" s="47">
        <v>2</v>
      </c>
      <c r="E322" s="47" t="s">
        <v>467</v>
      </c>
      <c r="F322" s="47" t="s">
        <v>466</v>
      </c>
      <c r="G322" s="47">
        <v>4</v>
      </c>
      <c r="H322" s="90" t="s">
        <v>618</v>
      </c>
      <c r="I322" s="48">
        <v>1</v>
      </c>
      <c r="J322" s="47" t="s">
        <v>458</v>
      </c>
      <c r="N322" t="s">
        <v>90</v>
      </c>
      <c r="O322" t="s">
        <v>90</v>
      </c>
      <c r="P322" t="s">
        <v>90</v>
      </c>
      <c r="Q322" t="s">
        <v>90</v>
      </c>
      <c r="R322" t="s">
        <v>90</v>
      </c>
      <c r="S322" t="s">
        <v>90</v>
      </c>
      <c r="T322" t="s">
        <v>90</v>
      </c>
      <c r="U322" t="s">
        <v>90</v>
      </c>
      <c r="V322" t="s">
        <v>90</v>
      </c>
      <c r="W322" s="45"/>
      <c r="X322" s="45"/>
      <c r="Y322" s="45"/>
      <c r="Z322" s="45"/>
    </row>
    <row r="323" spans="1:26" ht="20">
      <c r="A323" s="46">
        <v>37376</v>
      </c>
      <c r="B323" s="45" t="s">
        <v>836</v>
      </c>
      <c r="C323" s="45" t="s">
        <v>90</v>
      </c>
      <c r="D323" s="47">
        <v>2</v>
      </c>
      <c r="E323" s="47" t="s">
        <v>503</v>
      </c>
      <c r="F323" s="47" t="s">
        <v>463</v>
      </c>
      <c r="G323" s="47">
        <v>5</v>
      </c>
      <c r="H323" s="90" t="s">
        <v>619</v>
      </c>
      <c r="I323" s="48">
        <v>1</v>
      </c>
      <c r="J323" s="47" t="s">
        <v>458</v>
      </c>
      <c r="N323" t="s">
        <v>90</v>
      </c>
      <c r="O323" t="s">
        <v>90</v>
      </c>
      <c r="P323" t="s">
        <v>90</v>
      </c>
      <c r="Q323" t="s">
        <v>90</v>
      </c>
      <c r="R323" t="s">
        <v>90</v>
      </c>
      <c r="S323" t="s">
        <v>90</v>
      </c>
      <c r="T323" t="s">
        <v>90</v>
      </c>
      <c r="U323" t="s">
        <v>90</v>
      </c>
      <c r="V323" t="s">
        <v>90</v>
      </c>
      <c r="W323" s="45"/>
      <c r="X323" s="45"/>
      <c r="Y323" s="45"/>
      <c r="Z323" s="45"/>
    </row>
    <row r="324" spans="1:26" ht="20">
      <c r="A324" s="46">
        <v>37377</v>
      </c>
      <c r="B324" s="45" t="s">
        <v>837</v>
      </c>
      <c r="C324" s="45" t="s">
        <v>90</v>
      </c>
      <c r="D324" s="47">
        <v>2</v>
      </c>
      <c r="E324" s="47" t="s">
        <v>467</v>
      </c>
      <c r="F324" s="47" t="s">
        <v>463</v>
      </c>
      <c r="G324" s="47">
        <v>4</v>
      </c>
      <c r="H324" s="90" t="s">
        <v>609</v>
      </c>
      <c r="I324" s="48">
        <v>2</v>
      </c>
      <c r="J324" s="47" t="s">
        <v>458</v>
      </c>
      <c r="N324" t="s">
        <v>90</v>
      </c>
      <c r="O324" t="s">
        <v>90</v>
      </c>
      <c r="P324" t="s">
        <v>90</v>
      </c>
      <c r="Q324" t="s">
        <v>90</v>
      </c>
      <c r="R324" t="s">
        <v>90</v>
      </c>
      <c r="S324" t="s">
        <v>90</v>
      </c>
      <c r="T324" t="s">
        <v>90</v>
      </c>
      <c r="U324" t="s">
        <v>90</v>
      </c>
      <c r="V324" t="s">
        <v>90</v>
      </c>
      <c r="W324" s="45"/>
      <c r="X324" s="45"/>
      <c r="Y324" s="45"/>
      <c r="Z324" s="45"/>
    </row>
    <row r="325" spans="1:26" ht="20">
      <c r="A325" s="46">
        <v>37378</v>
      </c>
      <c r="B325" s="45" t="s">
        <v>838</v>
      </c>
      <c r="C325" s="45" t="s">
        <v>90</v>
      </c>
      <c r="D325" s="47">
        <v>2</v>
      </c>
      <c r="E325" s="47" t="s">
        <v>424</v>
      </c>
      <c r="F325" s="47" t="s">
        <v>504</v>
      </c>
      <c r="G325" s="47"/>
      <c r="H325" s="90" t="s">
        <v>572</v>
      </c>
      <c r="I325" s="48">
        <v>3</v>
      </c>
      <c r="J325" s="47" t="s">
        <v>458</v>
      </c>
      <c r="N325" t="s">
        <v>90</v>
      </c>
      <c r="O325" t="s">
        <v>90</v>
      </c>
      <c r="P325" t="s">
        <v>90</v>
      </c>
      <c r="Q325" t="s">
        <v>90</v>
      </c>
      <c r="R325" t="s">
        <v>90</v>
      </c>
      <c r="S325" t="s">
        <v>90</v>
      </c>
      <c r="T325" t="s">
        <v>90</v>
      </c>
      <c r="U325" t="s">
        <v>90</v>
      </c>
      <c r="V325" t="s">
        <v>90</v>
      </c>
      <c r="W325" s="45"/>
      <c r="X325" s="45"/>
      <c r="Y325" s="45"/>
      <c r="Z325" s="45"/>
    </row>
    <row r="326" spans="1:26" ht="20">
      <c r="A326" s="46">
        <v>37379</v>
      </c>
      <c r="B326" s="45" t="s">
        <v>839</v>
      </c>
      <c r="C326" s="45" t="s">
        <v>90</v>
      </c>
      <c r="D326" s="47">
        <v>2</v>
      </c>
      <c r="E326" s="47" t="s">
        <v>69</v>
      </c>
      <c r="F326" s="47" t="s">
        <v>468</v>
      </c>
      <c r="G326" s="47">
        <v>5</v>
      </c>
      <c r="H326" s="90" t="s">
        <v>573</v>
      </c>
      <c r="I326" s="48">
        <v>1</v>
      </c>
      <c r="J326" s="47" t="s">
        <v>458</v>
      </c>
      <c r="N326" t="s">
        <v>90</v>
      </c>
      <c r="O326" t="s">
        <v>90</v>
      </c>
      <c r="P326" t="s">
        <v>90</v>
      </c>
      <c r="Q326" t="s">
        <v>90</v>
      </c>
      <c r="R326" t="s">
        <v>90</v>
      </c>
      <c r="S326" t="s">
        <v>90</v>
      </c>
      <c r="T326" t="s">
        <v>90</v>
      </c>
      <c r="U326" t="s">
        <v>90</v>
      </c>
      <c r="V326" t="s">
        <v>90</v>
      </c>
      <c r="W326" s="45"/>
      <c r="X326" s="45"/>
      <c r="Y326" s="45"/>
      <c r="Z326" s="45"/>
    </row>
    <row r="327" spans="1:26" ht="20">
      <c r="A327" s="46">
        <v>37380</v>
      </c>
      <c r="B327" s="45" t="s">
        <v>840</v>
      </c>
      <c r="C327" s="45" t="s">
        <v>90</v>
      </c>
      <c r="D327" s="47">
        <v>2</v>
      </c>
      <c r="E327" s="47" t="s">
        <v>503</v>
      </c>
      <c r="F327" s="47" t="s">
        <v>466</v>
      </c>
      <c r="G327" s="47">
        <v>5</v>
      </c>
      <c r="H327" s="90" t="s">
        <v>574</v>
      </c>
      <c r="I327" s="48">
        <v>1</v>
      </c>
      <c r="J327" s="47" t="s">
        <v>458</v>
      </c>
      <c r="N327" t="s">
        <v>90</v>
      </c>
      <c r="O327" t="s">
        <v>90</v>
      </c>
      <c r="P327" t="s">
        <v>90</v>
      </c>
      <c r="Q327" t="s">
        <v>90</v>
      </c>
      <c r="R327" t="s">
        <v>90</v>
      </c>
      <c r="S327" t="s">
        <v>90</v>
      </c>
      <c r="T327" t="s">
        <v>90</v>
      </c>
      <c r="U327" t="s">
        <v>90</v>
      </c>
      <c r="V327" t="s">
        <v>90</v>
      </c>
      <c r="W327" s="45"/>
      <c r="X327" s="45"/>
      <c r="Y327" s="45"/>
      <c r="Z327" s="45"/>
    </row>
    <row r="328" spans="1:26" ht="20">
      <c r="A328" s="46">
        <v>37381</v>
      </c>
      <c r="B328" s="45" t="s">
        <v>841</v>
      </c>
      <c r="C328" s="45" t="s">
        <v>90</v>
      </c>
      <c r="D328" s="47">
        <v>2</v>
      </c>
      <c r="E328" s="47" t="s">
        <v>503</v>
      </c>
      <c r="F328" s="47" t="s">
        <v>463</v>
      </c>
      <c r="G328" s="47">
        <v>4</v>
      </c>
      <c r="H328" s="90" t="s">
        <v>575</v>
      </c>
      <c r="I328" s="48">
        <v>2</v>
      </c>
      <c r="J328" s="47" t="s">
        <v>458</v>
      </c>
      <c r="N328" t="s">
        <v>90</v>
      </c>
      <c r="O328" t="s">
        <v>90</v>
      </c>
      <c r="P328" t="s">
        <v>90</v>
      </c>
      <c r="Q328" t="s">
        <v>90</v>
      </c>
      <c r="R328" t="s">
        <v>90</v>
      </c>
      <c r="S328" t="s">
        <v>90</v>
      </c>
      <c r="T328" t="s">
        <v>90</v>
      </c>
      <c r="U328" t="s">
        <v>90</v>
      </c>
      <c r="V328" t="s">
        <v>90</v>
      </c>
      <c r="W328" s="45"/>
      <c r="X328" s="45"/>
      <c r="Y328" s="45"/>
      <c r="Z328" s="45"/>
    </row>
    <row r="329" spans="1:26" ht="20">
      <c r="A329" s="46">
        <v>37382</v>
      </c>
      <c r="B329" s="45" t="s">
        <v>842</v>
      </c>
      <c r="C329" s="45" t="s">
        <v>90</v>
      </c>
      <c r="D329" s="47">
        <v>2</v>
      </c>
      <c r="E329" s="47" t="s">
        <v>503</v>
      </c>
      <c r="F329" s="47" t="s">
        <v>466</v>
      </c>
      <c r="G329" s="47">
        <v>5</v>
      </c>
      <c r="H329" s="90" t="s">
        <v>576</v>
      </c>
      <c r="I329" s="48">
        <v>2</v>
      </c>
      <c r="J329" s="47" t="s">
        <v>458</v>
      </c>
      <c r="N329" t="s">
        <v>90</v>
      </c>
      <c r="O329" t="s">
        <v>90</v>
      </c>
      <c r="P329" t="s">
        <v>90</v>
      </c>
      <c r="Q329" t="s">
        <v>90</v>
      </c>
      <c r="R329" t="s">
        <v>90</v>
      </c>
      <c r="S329" t="s">
        <v>90</v>
      </c>
      <c r="T329" t="s">
        <v>90</v>
      </c>
      <c r="U329" t="s">
        <v>90</v>
      </c>
      <c r="V329" t="s">
        <v>90</v>
      </c>
      <c r="W329" s="45"/>
      <c r="X329" s="45"/>
      <c r="Y329" s="45"/>
      <c r="Z329" s="45"/>
    </row>
    <row r="330" spans="1:26" ht="20">
      <c r="A330" s="46">
        <v>37383</v>
      </c>
      <c r="B330" s="45" t="s">
        <v>843</v>
      </c>
      <c r="C330" s="45" t="s">
        <v>505</v>
      </c>
      <c r="D330" s="47">
        <v>2</v>
      </c>
      <c r="E330" s="47" t="s">
        <v>69</v>
      </c>
      <c r="F330" s="47" t="s">
        <v>463</v>
      </c>
      <c r="G330" s="47">
        <v>5</v>
      </c>
      <c r="H330" s="90" t="s">
        <v>577</v>
      </c>
      <c r="I330" s="48">
        <v>3</v>
      </c>
      <c r="J330" s="47" t="s">
        <v>458</v>
      </c>
      <c r="N330" t="s">
        <v>90</v>
      </c>
      <c r="O330" t="s">
        <v>90</v>
      </c>
      <c r="P330" t="s">
        <v>90</v>
      </c>
      <c r="Q330" t="s">
        <v>90</v>
      </c>
      <c r="R330" t="s">
        <v>90</v>
      </c>
      <c r="S330" t="s">
        <v>90</v>
      </c>
      <c r="T330" t="s">
        <v>90</v>
      </c>
      <c r="U330" t="s">
        <v>90</v>
      </c>
      <c r="V330" t="s">
        <v>90</v>
      </c>
      <c r="W330" s="45"/>
      <c r="X330" s="45"/>
      <c r="Y330" s="45"/>
      <c r="Z330" s="45"/>
    </row>
    <row r="331" spans="1:26" ht="20">
      <c r="A331" s="46">
        <v>37384</v>
      </c>
      <c r="B331" s="45" t="s">
        <v>843</v>
      </c>
      <c r="C331" s="45" t="s">
        <v>506</v>
      </c>
      <c r="D331" s="47">
        <v>2</v>
      </c>
      <c r="E331" s="47" t="s">
        <v>69</v>
      </c>
      <c r="F331" s="47" t="s">
        <v>463</v>
      </c>
      <c r="G331" s="47">
        <v>5</v>
      </c>
      <c r="H331" s="90" t="s">
        <v>578</v>
      </c>
      <c r="I331" s="48">
        <v>3</v>
      </c>
      <c r="J331" s="47" t="s">
        <v>458</v>
      </c>
      <c r="N331" t="s">
        <v>90</v>
      </c>
      <c r="O331" t="s">
        <v>90</v>
      </c>
      <c r="P331" t="s">
        <v>90</v>
      </c>
      <c r="Q331" t="s">
        <v>90</v>
      </c>
      <c r="R331" t="s">
        <v>90</v>
      </c>
      <c r="S331" t="s">
        <v>90</v>
      </c>
      <c r="T331" t="s">
        <v>90</v>
      </c>
      <c r="U331" t="s">
        <v>90</v>
      </c>
      <c r="V331" t="s">
        <v>90</v>
      </c>
      <c r="W331" s="45"/>
      <c r="X331" s="45"/>
      <c r="Y331" s="45"/>
      <c r="Z331" s="45"/>
    </row>
    <row r="332" spans="1:26" ht="20">
      <c r="A332" s="46">
        <v>37385</v>
      </c>
      <c r="B332" s="45" t="s">
        <v>843</v>
      </c>
      <c r="C332" s="45" t="s">
        <v>507</v>
      </c>
      <c r="D332" s="47">
        <v>2</v>
      </c>
      <c r="E332" s="47" t="s">
        <v>69</v>
      </c>
      <c r="F332" s="47" t="s">
        <v>463</v>
      </c>
      <c r="G332" s="47">
        <v>5</v>
      </c>
      <c r="H332" s="90" t="s">
        <v>579</v>
      </c>
      <c r="I332" s="48">
        <v>3</v>
      </c>
      <c r="J332" s="47" t="s">
        <v>458</v>
      </c>
      <c r="N332" t="s">
        <v>90</v>
      </c>
      <c r="O332" t="s">
        <v>90</v>
      </c>
      <c r="P332" t="s">
        <v>90</v>
      </c>
      <c r="Q332" t="s">
        <v>90</v>
      </c>
      <c r="R332" t="s">
        <v>90</v>
      </c>
      <c r="S332" t="s">
        <v>90</v>
      </c>
      <c r="T332" t="s">
        <v>90</v>
      </c>
      <c r="U332" t="s">
        <v>90</v>
      </c>
      <c r="V332" t="s">
        <v>90</v>
      </c>
      <c r="W332" s="45"/>
      <c r="X332" s="45"/>
      <c r="Y332" s="45"/>
      <c r="Z332" s="45"/>
    </row>
    <row r="333" spans="1:26" ht="20">
      <c r="A333" s="46">
        <v>37386</v>
      </c>
      <c r="B333" s="45" t="s">
        <v>844</v>
      </c>
      <c r="C333" s="45" t="s">
        <v>90</v>
      </c>
      <c r="D333" s="47">
        <v>2</v>
      </c>
      <c r="E333" s="47" t="s">
        <v>503</v>
      </c>
      <c r="F333" s="47" t="s">
        <v>504</v>
      </c>
      <c r="G333" s="47"/>
      <c r="H333" s="90" t="s">
        <v>580</v>
      </c>
      <c r="I333" s="48">
        <v>1</v>
      </c>
      <c r="J333" s="47" t="s">
        <v>458</v>
      </c>
      <c r="N333" t="s">
        <v>90</v>
      </c>
      <c r="O333" t="s">
        <v>90</v>
      </c>
      <c r="P333" t="s">
        <v>90</v>
      </c>
      <c r="Q333" t="s">
        <v>90</v>
      </c>
      <c r="R333" t="s">
        <v>90</v>
      </c>
      <c r="S333" t="s">
        <v>90</v>
      </c>
      <c r="T333" t="s">
        <v>90</v>
      </c>
      <c r="U333" t="s">
        <v>90</v>
      </c>
      <c r="V333" t="s">
        <v>90</v>
      </c>
      <c r="W333" s="45"/>
      <c r="X333" s="45"/>
      <c r="Y333" s="45"/>
      <c r="Z333" s="45"/>
    </row>
    <row r="334" spans="1:26" ht="20">
      <c r="A334" s="46">
        <v>37387</v>
      </c>
      <c r="B334" s="45" t="s">
        <v>845</v>
      </c>
      <c r="C334" s="45" t="s">
        <v>90</v>
      </c>
      <c r="D334" s="47">
        <v>2</v>
      </c>
      <c r="E334" s="47" t="s">
        <v>508</v>
      </c>
      <c r="F334" s="47" t="s">
        <v>463</v>
      </c>
      <c r="G334" s="47">
        <v>5</v>
      </c>
      <c r="H334" s="90" t="s">
        <v>581</v>
      </c>
      <c r="I334" s="48">
        <v>3</v>
      </c>
      <c r="J334" s="47" t="s">
        <v>458</v>
      </c>
      <c r="N334" t="s">
        <v>90</v>
      </c>
      <c r="O334" t="s">
        <v>90</v>
      </c>
      <c r="P334" t="s">
        <v>90</v>
      </c>
      <c r="Q334" t="s">
        <v>90</v>
      </c>
      <c r="R334" t="s">
        <v>90</v>
      </c>
      <c r="S334" t="s">
        <v>90</v>
      </c>
      <c r="T334" t="s">
        <v>90</v>
      </c>
      <c r="U334" t="s">
        <v>90</v>
      </c>
      <c r="V334" t="s">
        <v>90</v>
      </c>
      <c r="W334" s="45"/>
      <c r="X334" s="45"/>
      <c r="Y334" s="45"/>
      <c r="Z334" s="45"/>
    </row>
    <row r="335" spans="1:26" ht="20">
      <c r="A335" s="46">
        <v>37388</v>
      </c>
      <c r="B335" s="45" t="s">
        <v>846</v>
      </c>
      <c r="C335" s="45" t="s">
        <v>90</v>
      </c>
      <c r="D335" s="47">
        <v>2</v>
      </c>
      <c r="E335" s="47" t="s">
        <v>69</v>
      </c>
      <c r="F335" s="47" t="s">
        <v>466</v>
      </c>
      <c r="G335" s="47">
        <v>5</v>
      </c>
      <c r="H335" s="90" t="s">
        <v>582</v>
      </c>
      <c r="I335" s="48">
        <v>3</v>
      </c>
      <c r="J335" s="47" t="s">
        <v>458</v>
      </c>
      <c r="N335" t="s">
        <v>90</v>
      </c>
      <c r="O335" t="s">
        <v>90</v>
      </c>
      <c r="P335" t="s">
        <v>90</v>
      </c>
      <c r="Q335" t="s">
        <v>90</v>
      </c>
      <c r="R335" t="s">
        <v>90</v>
      </c>
      <c r="S335" t="s">
        <v>90</v>
      </c>
      <c r="T335" t="s">
        <v>90</v>
      </c>
      <c r="U335" t="s">
        <v>90</v>
      </c>
      <c r="V335" t="s">
        <v>90</v>
      </c>
    </row>
    <row r="336" spans="1:26" ht="20">
      <c r="A336" s="46">
        <v>38019</v>
      </c>
      <c r="B336" s="45" t="s">
        <v>673</v>
      </c>
      <c r="C336" s="45"/>
      <c r="D336" s="47">
        <v>4</v>
      </c>
      <c r="E336" s="47"/>
      <c r="F336" s="47" t="s">
        <v>498</v>
      </c>
      <c r="G336" s="47"/>
      <c r="H336" s="90" t="s">
        <v>583</v>
      </c>
      <c r="I336" s="48">
        <v>4</v>
      </c>
      <c r="J336" s="47" t="s">
        <v>458</v>
      </c>
      <c r="N336" t="s">
        <v>90</v>
      </c>
      <c r="O336" t="s">
        <v>256</v>
      </c>
      <c r="P336" t="s">
        <v>90</v>
      </c>
      <c r="Q336" t="s">
        <v>90</v>
      </c>
      <c r="R336" t="s">
        <v>90</v>
      </c>
      <c r="S336" t="s">
        <v>90</v>
      </c>
      <c r="T336" t="s">
        <v>256</v>
      </c>
      <c r="U336" t="s">
        <v>256</v>
      </c>
      <c r="V336" t="s">
        <v>256</v>
      </c>
    </row>
    <row r="337" spans="1:22" ht="20">
      <c r="A337" s="46">
        <v>37389</v>
      </c>
      <c r="B337" s="45" t="s">
        <v>847</v>
      </c>
      <c r="C337" s="45" t="s">
        <v>90</v>
      </c>
      <c r="D337" s="47">
        <v>2</v>
      </c>
      <c r="E337" s="47" t="s">
        <v>486</v>
      </c>
      <c r="F337" s="47" t="s">
        <v>509</v>
      </c>
      <c r="G337" s="47">
        <v>3</v>
      </c>
      <c r="H337" s="90" t="s">
        <v>584</v>
      </c>
      <c r="I337" s="48">
        <v>1</v>
      </c>
      <c r="J337" s="47" t="s">
        <v>458</v>
      </c>
      <c r="N337" t="s">
        <v>90</v>
      </c>
      <c r="O337" t="s">
        <v>90</v>
      </c>
      <c r="P337" t="s">
        <v>90</v>
      </c>
      <c r="Q337" t="s">
        <v>90</v>
      </c>
      <c r="R337" t="s">
        <v>90</v>
      </c>
      <c r="S337" t="s">
        <v>90</v>
      </c>
      <c r="T337" t="s">
        <v>90</v>
      </c>
      <c r="U337" t="s">
        <v>90</v>
      </c>
      <c r="V337" t="s">
        <v>90</v>
      </c>
    </row>
    <row r="338" spans="1:22" ht="20">
      <c r="A338" s="46">
        <v>37390</v>
      </c>
      <c r="B338" s="45" t="s">
        <v>848</v>
      </c>
      <c r="C338" s="45" t="s">
        <v>90</v>
      </c>
      <c r="D338" s="47">
        <v>2</v>
      </c>
      <c r="E338" s="47" t="s">
        <v>467</v>
      </c>
      <c r="F338" s="47" t="s">
        <v>92</v>
      </c>
      <c r="G338" s="47">
        <v>4</v>
      </c>
      <c r="H338" s="90" t="s">
        <v>585</v>
      </c>
      <c r="I338" s="48">
        <v>1</v>
      </c>
      <c r="J338" s="47" t="s">
        <v>458</v>
      </c>
      <c r="N338" t="s">
        <v>90</v>
      </c>
      <c r="O338" t="s">
        <v>90</v>
      </c>
      <c r="P338" t="s">
        <v>90</v>
      </c>
      <c r="Q338" t="s">
        <v>90</v>
      </c>
      <c r="R338" t="s">
        <v>90</v>
      </c>
      <c r="S338" t="s">
        <v>90</v>
      </c>
      <c r="T338" t="s">
        <v>90</v>
      </c>
      <c r="U338" t="s">
        <v>90</v>
      </c>
      <c r="V338" t="s">
        <v>90</v>
      </c>
    </row>
    <row r="339" spans="1:22" ht="20">
      <c r="A339" s="46">
        <v>37391</v>
      </c>
      <c r="B339" s="45" t="s">
        <v>849</v>
      </c>
      <c r="C339" s="45" t="s">
        <v>90</v>
      </c>
      <c r="D339" s="47">
        <v>2</v>
      </c>
      <c r="E339" s="47" t="s">
        <v>69</v>
      </c>
      <c r="F339" s="47" t="s">
        <v>510</v>
      </c>
      <c r="G339" s="47">
        <v>4</v>
      </c>
      <c r="H339" s="90" t="s">
        <v>586</v>
      </c>
      <c r="I339" s="48" t="s">
        <v>487</v>
      </c>
      <c r="J339" s="47" t="s">
        <v>458</v>
      </c>
      <c r="N339" t="s">
        <v>90</v>
      </c>
      <c r="O339" t="s">
        <v>90</v>
      </c>
      <c r="P339" t="s">
        <v>90</v>
      </c>
      <c r="Q339" t="s">
        <v>90</v>
      </c>
      <c r="R339" t="s">
        <v>90</v>
      </c>
      <c r="S339" t="s">
        <v>90</v>
      </c>
      <c r="T339" t="s">
        <v>90</v>
      </c>
      <c r="U339" t="s">
        <v>90</v>
      </c>
      <c r="V339" t="s">
        <v>90</v>
      </c>
    </row>
    <row r="340" spans="1:22" ht="20">
      <c r="A340" s="46">
        <v>37392</v>
      </c>
      <c r="B340" s="45" t="s">
        <v>850</v>
      </c>
      <c r="C340" s="45" t="s">
        <v>90</v>
      </c>
      <c r="D340" s="47">
        <v>2</v>
      </c>
      <c r="E340" s="47" t="s">
        <v>47</v>
      </c>
      <c r="F340" s="47" t="s">
        <v>510</v>
      </c>
      <c r="G340" s="47">
        <v>4</v>
      </c>
      <c r="H340" s="90" t="s">
        <v>587</v>
      </c>
      <c r="I340" s="48" t="s">
        <v>487</v>
      </c>
      <c r="J340" s="47" t="s">
        <v>458</v>
      </c>
      <c r="N340" t="s">
        <v>90</v>
      </c>
      <c r="O340" t="s">
        <v>90</v>
      </c>
      <c r="P340" t="s">
        <v>90</v>
      </c>
      <c r="Q340" t="s">
        <v>90</v>
      </c>
      <c r="R340" t="s">
        <v>90</v>
      </c>
      <c r="S340" t="s">
        <v>90</v>
      </c>
      <c r="T340" t="s">
        <v>90</v>
      </c>
      <c r="U340" t="s">
        <v>90</v>
      </c>
      <c r="V340" t="s">
        <v>90</v>
      </c>
    </row>
    <row r="341" spans="1:22" ht="20">
      <c r="A341" s="46">
        <v>37393</v>
      </c>
      <c r="B341" s="45" t="s">
        <v>851</v>
      </c>
      <c r="C341" s="45" t="s">
        <v>90</v>
      </c>
      <c r="D341" s="47">
        <v>2</v>
      </c>
      <c r="E341" s="47" t="s">
        <v>69</v>
      </c>
      <c r="F341" s="47" t="s">
        <v>88</v>
      </c>
      <c r="G341" s="47">
        <v>5</v>
      </c>
      <c r="H341" s="90" t="s">
        <v>588</v>
      </c>
      <c r="I341" s="48" t="s">
        <v>487</v>
      </c>
      <c r="J341" s="47" t="s">
        <v>458</v>
      </c>
      <c r="N341" t="s">
        <v>90</v>
      </c>
      <c r="O341" t="s">
        <v>90</v>
      </c>
      <c r="P341" t="s">
        <v>90</v>
      </c>
      <c r="Q341" t="s">
        <v>90</v>
      </c>
      <c r="R341" t="s">
        <v>90</v>
      </c>
      <c r="S341" t="s">
        <v>90</v>
      </c>
      <c r="T341" t="s">
        <v>90</v>
      </c>
      <c r="U341" t="s">
        <v>90</v>
      </c>
      <c r="V341" t="s">
        <v>90</v>
      </c>
    </row>
    <row r="342" spans="1:22" ht="20">
      <c r="A342" s="46">
        <v>37394</v>
      </c>
      <c r="B342" s="45" t="s">
        <v>852</v>
      </c>
      <c r="C342" s="45" t="s">
        <v>90</v>
      </c>
      <c r="D342" s="47">
        <v>2</v>
      </c>
      <c r="E342" s="47" t="s">
        <v>47</v>
      </c>
      <c r="F342" s="47" t="s">
        <v>88</v>
      </c>
      <c r="G342" s="47">
        <v>5</v>
      </c>
      <c r="H342" s="90" t="s">
        <v>589</v>
      </c>
      <c r="I342" s="48" t="s">
        <v>487</v>
      </c>
      <c r="J342" s="47" t="s">
        <v>458</v>
      </c>
      <c r="N342" t="s">
        <v>90</v>
      </c>
      <c r="O342" t="s">
        <v>90</v>
      </c>
      <c r="P342" t="s">
        <v>90</v>
      </c>
      <c r="Q342" t="s">
        <v>90</v>
      </c>
      <c r="R342" t="s">
        <v>90</v>
      </c>
      <c r="S342" t="s">
        <v>90</v>
      </c>
      <c r="T342" t="s">
        <v>90</v>
      </c>
      <c r="U342" t="s">
        <v>90</v>
      </c>
      <c r="V342" t="s">
        <v>90</v>
      </c>
    </row>
    <row r="343" spans="1:22" ht="20">
      <c r="A343" s="46">
        <v>37395</v>
      </c>
      <c r="B343" s="45" t="s">
        <v>853</v>
      </c>
      <c r="C343" s="45" t="s">
        <v>90</v>
      </c>
      <c r="D343" s="47">
        <v>2</v>
      </c>
      <c r="E343" s="47" t="s">
        <v>69</v>
      </c>
      <c r="F343" s="47" t="s">
        <v>509</v>
      </c>
      <c r="G343" s="47">
        <v>4</v>
      </c>
      <c r="H343" s="90" t="s">
        <v>590</v>
      </c>
      <c r="I343" s="48" t="s">
        <v>487</v>
      </c>
      <c r="J343" s="47" t="s">
        <v>458</v>
      </c>
      <c r="N343" t="s">
        <v>90</v>
      </c>
      <c r="O343" t="s">
        <v>90</v>
      </c>
      <c r="P343" t="s">
        <v>90</v>
      </c>
      <c r="Q343" t="s">
        <v>90</v>
      </c>
      <c r="R343" t="s">
        <v>90</v>
      </c>
      <c r="S343" t="s">
        <v>90</v>
      </c>
      <c r="T343" t="s">
        <v>90</v>
      </c>
      <c r="U343" t="s">
        <v>90</v>
      </c>
      <c r="V343" t="s">
        <v>90</v>
      </c>
    </row>
    <row r="344" spans="1:22" ht="20">
      <c r="A344" s="46">
        <v>37396</v>
      </c>
      <c r="B344" s="45" t="s">
        <v>854</v>
      </c>
      <c r="C344" s="45" t="s">
        <v>90</v>
      </c>
      <c r="D344" s="47">
        <v>2</v>
      </c>
      <c r="E344" s="47" t="s">
        <v>47</v>
      </c>
      <c r="F344" s="47" t="s">
        <v>509</v>
      </c>
      <c r="G344" s="47">
        <v>4</v>
      </c>
      <c r="H344" s="90" t="s">
        <v>591</v>
      </c>
      <c r="I344" s="48" t="s">
        <v>487</v>
      </c>
      <c r="J344" s="47" t="s">
        <v>458</v>
      </c>
      <c r="N344" t="s">
        <v>90</v>
      </c>
      <c r="O344" t="s">
        <v>90</v>
      </c>
      <c r="P344" t="s">
        <v>90</v>
      </c>
      <c r="Q344" t="s">
        <v>90</v>
      </c>
      <c r="R344" t="s">
        <v>90</v>
      </c>
      <c r="S344" t="s">
        <v>90</v>
      </c>
      <c r="T344" t="s">
        <v>90</v>
      </c>
      <c r="U344" t="s">
        <v>90</v>
      </c>
      <c r="V344" t="s">
        <v>90</v>
      </c>
    </row>
    <row r="345" spans="1:22" ht="20">
      <c r="A345" s="46">
        <v>37397</v>
      </c>
      <c r="B345" s="45" t="s">
        <v>855</v>
      </c>
      <c r="C345" s="45" t="s">
        <v>90</v>
      </c>
      <c r="D345" s="47">
        <v>2</v>
      </c>
      <c r="E345" s="47" t="s">
        <v>69</v>
      </c>
      <c r="F345" s="47" t="s">
        <v>511</v>
      </c>
      <c r="G345" s="47"/>
      <c r="H345" s="90" t="s">
        <v>592</v>
      </c>
      <c r="I345" s="48" t="s">
        <v>487</v>
      </c>
      <c r="J345" s="47" t="s">
        <v>458</v>
      </c>
      <c r="N345" t="s">
        <v>90</v>
      </c>
      <c r="O345" t="s">
        <v>90</v>
      </c>
      <c r="P345" t="s">
        <v>90</v>
      </c>
      <c r="Q345" t="s">
        <v>90</v>
      </c>
      <c r="R345" t="s">
        <v>90</v>
      </c>
      <c r="S345" t="s">
        <v>90</v>
      </c>
      <c r="T345" t="s">
        <v>90</v>
      </c>
      <c r="U345" t="s">
        <v>90</v>
      </c>
      <c r="V345" t="s">
        <v>90</v>
      </c>
    </row>
    <row r="346" spans="1:22" ht="20">
      <c r="A346" s="46">
        <v>37398</v>
      </c>
      <c r="B346" s="45" t="s">
        <v>856</v>
      </c>
      <c r="C346" s="45" t="s">
        <v>90</v>
      </c>
      <c r="D346" s="47">
        <v>2</v>
      </c>
      <c r="E346" s="47" t="s">
        <v>47</v>
      </c>
      <c r="F346" s="47" t="s">
        <v>89</v>
      </c>
      <c r="G346" s="47">
        <v>3</v>
      </c>
      <c r="H346" s="90" t="s">
        <v>593</v>
      </c>
      <c r="I346" s="48" t="s">
        <v>487</v>
      </c>
      <c r="J346" s="47" t="s">
        <v>458</v>
      </c>
      <c r="N346" t="s">
        <v>90</v>
      </c>
      <c r="O346" t="s">
        <v>90</v>
      </c>
      <c r="P346" t="s">
        <v>90</v>
      </c>
      <c r="Q346" t="s">
        <v>90</v>
      </c>
      <c r="R346" t="s">
        <v>90</v>
      </c>
      <c r="S346" t="s">
        <v>90</v>
      </c>
      <c r="T346" t="s">
        <v>90</v>
      </c>
      <c r="U346" t="s">
        <v>90</v>
      </c>
      <c r="V346" t="s">
        <v>90</v>
      </c>
    </row>
    <row r="347" spans="1:22" ht="30">
      <c r="A347" s="46">
        <v>37399</v>
      </c>
      <c r="B347" s="51" t="s">
        <v>857</v>
      </c>
      <c r="C347" s="45" t="s">
        <v>90</v>
      </c>
      <c r="D347" s="47">
        <v>2</v>
      </c>
      <c r="E347" s="47" t="s">
        <v>69</v>
      </c>
      <c r="F347" s="47" t="s">
        <v>417</v>
      </c>
      <c r="G347" s="47">
        <v>3</v>
      </c>
      <c r="H347" s="90" t="s">
        <v>594</v>
      </c>
      <c r="I347" s="48">
        <v>1</v>
      </c>
      <c r="J347" s="47" t="s">
        <v>458</v>
      </c>
      <c r="N347" t="s">
        <v>90</v>
      </c>
      <c r="O347" t="s">
        <v>90</v>
      </c>
      <c r="P347" t="s">
        <v>90</v>
      </c>
      <c r="Q347" t="s">
        <v>90</v>
      </c>
      <c r="R347" t="s">
        <v>90</v>
      </c>
      <c r="S347" t="s">
        <v>90</v>
      </c>
      <c r="T347" t="s">
        <v>90</v>
      </c>
      <c r="U347" t="s">
        <v>90</v>
      </c>
      <c r="V347" t="s">
        <v>90</v>
      </c>
    </row>
    <row r="348" spans="1:22" ht="20">
      <c r="A348" s="46">
        <v>37400</v>
      </c>
      <c r="B348" s="45" t="s">
        <v>858</v>
      </c>
      <c r="C348" s="45" t="s">
        <v>90</v>
      </c>
      <c r="D348" s="47">
        <v>2</v>
      </c>
      <c r="E348" s="47" t="s">
        <v>47</v>
      </c>
      <c r="F348" s="47" t="s">
        <v>88</v>
      </c>
      <c r="G348" s="47">
        <v>4</v>
      </c>
      <c r="H348" s="90" t="s">
        <v>595</v>
      </c>
      <c r="I348" s="48">
        <v>1</v>
      </c>
      <c r="J348" s="47" t="s">
        <v>458</v>
      </c>
      <c r="N348" t="s">
        <v>90</v>
      </c>
      <c r="O348" t="s">
        <v>90</v>
      </c>
      <c r="P348" t="s">
        <v>90</v>
      </c>
      <c r="Q348" t="s">
        <v>90</v>
      </c>
      <c r="R348" t="s">
        <v>90</v>
      </c>
      <c r="S348" t="s">
        <v>90</v>
      </c>
      <c r="T348" t="s">
        <v>90</v>
      </c>
      <c r="U348" t="s">
        <v>90</v>
      </c>
      <c r="V348" t="s">
        <v>90</v>
      </c>
    </row>
    <row r="349" spans="1:22" ht="20">
      <c r="A349" s="46">
        <v>37401</v>
      </c>
      <c r="B349" s="45" t="s">
        <v>859</v>
      </c>
      <c r="C349" s="45" t="s">
        <v>90</v>
      </c>
      <c r="D349" s="47">
        <v>2</v>
      </c>
      <c r="E349" s="47" t="s">
        <v>467</v>
      </c>
      <c r="F349" s="47" t="s">
        <v>89</v>
      </c>
      <c r="G349" s="47">
        <v>2</v>
      </c>
      <c r="H349" s="90" t="s">
        <v>596</v>
      </c>
      <c r="I349" s="48">
        <v>1</v>
      </c>
      <c r="J349" s="47" t="s">
        <v>458</v>
      </c>
      <c r="N349" t="s">
        <v>90</v>
      </c>
      <c r="O349" t="s">
        <v>90</v>
      </c>
      <c r="P349" t="s">
        <v>90</v>
      </c>
      <c r="Q349" t="s">
        <v>90</v>
      </c>
      <c r="R349" t="s">
        <v>90</v>
      </c>
      <c r="S349" t="s">
        <v>90</v>
      </c>
      <c r="T349" t="s">
        <v>90</v>
      </c>
      <c r="U349" t="s">
        <v>90</v>
      </c>
      <c r="V349" t="s">
        <v>90</v>
      </c>
    </row>
    <row r="350" spans="1:22" ht="20">
      <c r="A350" s="46">
        <v>37402</v>
      </c>
      <c r="B350" s="45" t="s">
        <v>860</v>
      </c>
      <c r="C350" s="45" t="s">
        <v>90</v>
      </c>
      <c r="D350" s="47">
        <v>2</v>
      </c>
      <c r="E350" s="47" t="s">
        <v>461</v>
      </c>
      <c r="F350" s="47" t="s">
        <v>445</v>
      </c>
      <c r="G350" s="47">
        <v>3</v>
      </c>
      <c r="H350" s="90" t="s">
        <v>597</v>
      </c>
      <c r="I350" s="48">
        <v>1</v>
      </c>
      <c r="J350" s="47" t="s">
        <v>458</v>
      </c>
      <c r="N350" t="s">
        <v>90</v>
      </c>
      <c r="O350" t="s">
        <v>90</v>
      </c>
      <c r="P350" t="s">
        <v>90</v>
      </c>
      <c r="Q350" t="s">
        <v>90</v>
      </c>
      <c r="R350" t="s">
        <v>90</v>
      </c>
      <c r="S350" t="s">
        <v>90</v>
      </c>
      <c r="T350" t="s">
        <v>90</v>
      </c>
      <c r="U350" t="s">
        <v>90</v>
      </c>
      <c r="V350" t="s">
        <v>90</v>
      </c>
    </row>
    <row r="351" spans="1:22" ht="20">
      <c r="A351" s="46">
        <v>37403</v>
      </c>
      <c r="B351" s="45" t="s">
        <v>861</v>
      </c>
      <c r="C351" s="45" t="s">
        <v>90</v>
      </c>
      <c r="D351" s="47">
        <v>2</v>
      </c>
      <c r="E351" s="47" t="s">
        <v>69</v>
      </c>
      <c r="F351" s="47" t="s">
        <v>419</v>
      </c>
      <c r="G351" s="47">
        <v>5</v>
      </c>
      <c r="H351" s="90" t="s">
        <v>598</v>
      </c>
      <c r="I351" s="48">
        <v>1</v>
      </c>
      <c r="J351" s="47" t="s">
        <v>458</v>
      </c>
      <c r="N351" t="s">
        <v>90</v>
      </c>
      <c r="O351" t="s">
        <v>90</v>
      </c>
      <c r="P351" t="s">
        <v>90</v>
      </c>
      <c r="Q351" t="s">
        <v>90</v>
      </c>
      <c r="R351" t="s">
        <v>90</v>
      </c>
      <c r="S351" t="s">
        <v>90</v>
      </c>
      <c r="T351" t="s">
        <v>90</v>
      </c>
      <c r="U351" t="s">
        <v>90</v>
      </c>
      <c r="V351" t="s">
        <v>90</v>
      </c>
    </row>
    <row r="352" spans="1:22" ht="20">
      <c r="A352" s="46">
        <v>37404</v>
      </c>
      <c r="B352" s="45" t="s">
        <v>862</v>
      </c>
      <c r="C352" s="45" t="s">
        <v>90</v>
      </c>
      <c r="D352" s="47">
        <v>2</v>
      </c>
      <c r="E352" s="47" t="s">
        <v>47</v>
      </c>
      <c r="F352" s="47" t="s">
        <v>419</v>
      </c>
      <c r="G352" s="47">
        <v>5</v>
      </c>
      <c r="H352" s="90" t="s">
        <v>599</v>
      </c>
      <c r="I352" s="48">
        <v>1</v>
      </c>
      <c r="J352" s="47" t="s">
        <v>458</v>
      </c>
      <c r="N352" t="s">
        <v>90</v>
      </c>
      <c r="O352" t="s">
        <v>90</v>
      </c>
      <c r="P352" t="s">
        <v>90</v>
      </c>
      <c r="Q352" t="s">
        <v>90</v>
      </c>
      <c r="R352" t="s">
        <v>90</v>
      </c>
      <c r="S352" t="s">
        <v>90</v>
      </c>
      <c r="T352" t="s">
        <v>90</v>
      </c>
      <c r="U352" t="s">
        <v>90</v>
      </c>
      <c r="V352" t="s">
        <v>90</v>
      </c>
    </row>
    <row r="353" spans="1:22" ht="20">
      <c r="A353" s="46">
        <v>37405</v>
      </c>
      <c r="B353" s="45" t="s">
        <v>863</v>
      </c>
      <c r="C353" s="45" t="s">
        <v>90</v>
      </c>
      <c r="D353" s="47">
        <v>2</v>
      </c>
      <c r="E353" s="47" t="s">
        <v>461</v>
      </c>
      <c r="F353" s="47" t="s">
        <v>512</v>
      </c>
      <c r="G353" s="47">
        <v>4</v>
      </c>
      <c r="H353" s="90" t="s">
        <v>600</v>
      </c>
      <c r="I353" s="48">
        <v>1</v>
      </c>
      <c r="J353" s="47" t="s">
        <v>458</v>
      </c>
      <c r="N353" t="s">
        <v>90</v>
      </c>
      <c r="O353" t="s">
        <v>90</v>
      </c>
      <c r="P353" t="s">
        <v>90</v>
      </c>
      <c r="Q353" t="s">
        <v>90</v>
      </c>
      <c r="R353" t="s">
        <v>90</v>
      </c>
      <c r="S353" t="s">
        <v>90</v>
      </c>
      <c r="T353" t="s">
        <v>90</v>
      </c>
      <c r="U353" t="s">
        <v>90</v>
      </c>
      <c r="V353" t="s">
        <v>90</v>
      </c>
    </row>
    <row r="354" spans="1:22" ht="20">
      <c r="A354" s="46">
        <v>37406</v>
      </c>
      <c r="B354" s="45" t="s">
        <v>864</v>
      </c>
      <c r="C354" s="45" t="s">
        <v>90</v>
      </c>
      <c r="D354" s="47">
        <v>2</v>
      </c>
      <c r="E354" s="47" t="s">
        <v>47</v>
      </c>
      <c r="F354" s="47" t="s">
        <v>466</v>
      </c>
      <c r="G354" s="47">
        <v>3</v>
      </c>
      <c r="H354" s="90" t="s">
        <v>601</v>
      </c>
      <c r="I354" s="48">
        <v>1</v>
      </c>
      <c r="J354" s="47" t="s">
        <v>458</v>
      </c>
      <c r="N354" t="s">
        <v>90</v>
      </c>
      <c r="O354" t="s">
        <v>90</v>
      </c>
      <c r="P354" t="s">
        <v>90</v>
      </c>
      <c r="Q354" t="s">
        <v>90</v>
      </c>
      <c r="R354" t="s">
        <v>90</v>
      </c>
      <c r="S354" t="s">
        <v>90</v>
      </c>
      <c r="T354" t="s">
        <v>90</v>
      </c>
      <c r="U354" t="s">
        <v>90</v>
      </c>
      <c r="V354" t="s">
        <v>90</v>
      </c>
    </row>
    <row r="355" spans="1:22" ht="20">
      <c r="A355" s="46">
        <v>37407</v>
      </c>
      <c r="B355" s="45" t="s">
        <v>865</v>
      </c>
      <c r="C355" s="45" t="s">
        <v>90</v>
      </c>
      <c r="D355" s="47">
        <v>2</v>
      </c>
      <c r="E355" s="47" t="s">
        <v>69</v>
      </c>
      <c r="F355" s="47" t="s">
        <v>88</v>
      </c>
      <c r="G355" s="47">
        <v>4</v>
      </c>
      <c r="H355" s="90" t="s">
        <v>602</v>
      </c>
      <c r="I355" s="48">
        <v>1</v>
      </c>
      <c r="J355" s="47" t="s">
        <v>458</v>
      </c>
      <c r="N355" t="s">
        <v>90</v>
      </c>
      <c r="O355" t="s">
        <v>90</v>
      </c>
      <c r="P355" t="s">
        <v>90</v>
      </c>
      <c r="Q355" t="s">
        <v>90</v>
      </c>
      <c r="R355" t="s">
        <v>90</v>
      </c>
      <c r="S355" t="s">
        <v>90</v>
      </c>
      <c r="T355" t="s">
        <v>90</v>
      </c>
      <c r="U355" t="s">
        <v>90</v>
      </c>
      <c r="V355" t="s">
        <v>90</v>
      </c>
    </row>
    <row r="356" spans="1:22" ht="20">
      <c r="A356" s="46">
        <v>37408</v>
      </c>
      <c r="B356" s="45" t="s">
        <v>866</v>
      </c>
      <c r="C356" s="45" t="s">
        <v>90</v>
      </c>
      <c r="D356" s="47">
        <v>2</v>
      </c>
      <c r="E356" s="47" t="s">
        <v>461</v>
      </c>
      <c r="F356" s="47" t="s">
        <v>512</v>
      </c>
      <c r="G356" s="47">
        <v>5</v>
      </c>
      <c r="H356" s="90" t="s">
        <v>620</v>
      </c>
      <c r="I356" s="48">
        <v>1</v>
      </c>
      <c r="J356" s="47" t="s">
        <v>458</v>
      </c>
      <c r="N356" t="s">
        <v>90</v>
      </c>
      <c r="O356" t="s">
        <v>90</v>
      </c>
      <c r="P356" t="s">
        <v>90</v>
      </c>
      <c r="Q356" t="s">
        <v>90</v>
      </c>
      <c r="R356" t="s">
        <v>90</v>
      </c>
      <c r="S356" t="s">
        <v>90</v>
      </c>
      <c r="T356" t="s">
        <v>90</v>
      </c>
      <c r="U356" t="s">
        <v>90</v>
      </c>
      <c r="V356" t="s">
        <v>90</v>
      </c>
    </row>
    <row r="357" spans="1:22" ht="20">
      <c r="A357" s="46">
        <v>37409</v>
      </c>
      <c r="B357" s="45" t="s">
        <v>867</v>
      </c>
      <c r="C357" s="45" t="s">
        <v>90</v>
      </c>
      <c r="D357" s="47">
        <v>2</v>
      </c>
      <c r="E357" s="47" t="s">
        <v>69</v>
      </c>
      <c r="F357" s="47" t="s">
        <v>513</v>
      </c>
      <c r="G357" s="47">
        <v>3</v>
      </c>
      <c r="H357" s="90" t="s">
        <v>603</v>
      </c>
      <c r="I357" s="48" t="s">
        <v>487</v>
      </c>
      <c r="J357" s="47" t="s">
        <v>458</v>
      </c>
      <c r="N357" t="s">
        <v>90</v>
      </c>
      <c r="O357" t="s">
        <v>90</v>
      </c>
      <c r="P357" t="s">
        <v>90</v>
      </c>
      <c r="Q357" t="s">
        <v>90</v>
      </c>
      <c r="R357" t="s">
        <v>90</v>
      </c>
      <c r="S357" t="s">
        <v>90</v>
      </c>
      <c r="T357" t="s">
        <v>90</v>
      </c>
      <c r="U357" t="s">
        <v>90</v>
      </c>
      <c r="V357" t="s">
        <v>90</v>
      </c>
    </row>
    <row r="358" spans="1:22" ht="20">
      <c r="A358" s="46">
        <v>37410</v>
      </c>
      <c r="B358" s="45" t="s">
        <v>868</v>
      </c>
      <c r="C358" s="45" t="s">
        <v>90</v>
      </c>
      <c r="D358" s="47">
        <v>2</v>
      </c>
      <c r="E358" s="47" t="s">
        <v>47</v>
      </c>
      <c r="F358" s="47" t="s">
        <v>509</v>
      </c>
      <c r="G358" s="47">
        <v>3</v>
      </c>
      <c r="H358" s="90" t="s">
        <v>604</v>
      </c>
      <c r="I358" s="48" t="s">
        <v>487</v>
      </c>
      <c r="J358" s="47" t="s">
        <v>458</v>
      </c>
      <c r="N358" t="s">
        <v>90</v>
      </c>
      <c r="O358" t="s">
        <v>90</v>
      </c>
      <c r="P358" t="s">
        <v>90</v>
      </c>
      <c r="Q358" t="s">
        <v>90</v>
      </c>
      <c r="R358" t="s">
        <v>90</v>
      </c>
      <c r="S358" t="s">
        <v>90</v>
      </c>
      <c r="T358" t="s">
        <v>90</v>
      </c>
      <c r="U358" t="s">
        <v>90</v>
      </c>
      <c r="V358" t="s">
        <v>90</v>
      </c>
    </row>
    <row r="359" spans="1:22" ht="20">
      <c r="A359" s="46">
        <v>37411</v>
      </c>
      <c r="B359" s="45" t="s">
        <v>869</v>
      </c>
      <c r="C359" s="45" t="s">
        <v>90</v>
      </c>
      <c r="D359" s="47">
        <v>2</v>
      </c>
      <c r="E359" s="47" t="s">
        <v>69</v>
      </c>
      <c r="F359" s="47" t="s">
        <v>514</v>
      </c>
      <c r="G359" s="47">
        <v>5</v>
      </c>
      <c r="H359" s="90" t="s">
        <v>605</v>
      </c>
      <c r="I359" s="48" t="s">
        <v>515</v>
      </c>
      <c r="J359" s="47" t="s">
        <v>458</v>
      </c>
      <c r="N359" t="s">
        <v>90</v>
      </c>
      <c r="O359" t="s">
        <v>90</v>
      </c>
      <c r="P359" t="s">
        <v>90</v>
      </c>
      <c r="Q359" t="s">
        <v>90</v>
      </c>
      <c r="R359" t="s">
        <v>90</v>
      </c>
      <c r="S359" t="s">
        <v>90</v>
      </c>
      <c r="T359" t="s">
        <v>90</v>
      </c>
      <c r="U359" t="s">
        <v>90</v>
      </c>
      <c r="V359" t="s">
        <v>90</v>
      </c>
    </row>
    <row r="360" spans="1:22" ht="20">
      <c r="A360" s="46">
        <v>37412</v>
      </c>
      <c r="B360" s="45" t="s">
        <v>870</v>
      </c>
      <c r="C360" s="45" t="s">
        <v>90</v>
      </c>
      <c r="D360" s="47">
        <v>2</v>
      </c>
      <c r="E360" s="47" t="s">
        <v>47</v>
      </c>
      <c r="F360" s="47" t="s">
        <v>514</v>
      </c>
      <c r="G360" s="47">
        <v>5</v>
      </c>
      <c r="H360" s="90" t="s">
        <v>606</v>
      </c>
      <c r="I360" s="48" t="s">
        <v>515</v>
      </c>
      <c r="J360" s="47" t="s">
        <v>458</v>
      </c>
      <c r="N360" t="s">
        <v>90</v>
      </c>
      <c r="O360" t="s">
        <v>90</v>
      </c>
      <c r="P360" t="s">
        <v>90</v>
      </c>
      <c r="Q360" t="s">
        <v>90</v>
      </c>
      <c r="R360" t="s">
        <v>90</v>
      </c>
      <c r="S360" t="s">
        <v>90</v>
      </c>
      <c r="T360" t="s">
        <v>90</v>
      </c>
      <c r="U360" t="s">
        <v>90</v>
      </c>
      <c r="V360" t="s">
        <v>90</v>
      </c>
    </row>
    <row r="361" spans="1:22" ht="20">
      <c r="A361" s="46">
        <v>37413</v>
      </c>
      <c r="B361" s="45" t="s">
        <v>871</v>
      </c>
      <c r="C361" s="45" t="s">
        <v>90</v>
      </c>
      <c r="D361" s="47">
        <v>2</v>
      </c>
      <c r="E361" s="47" t="s">
        <v>69</v>
      </c>
      <c r="F361" s="47" t="s">
        <v>88</v>
      </c>
      <c r="G361" s="47">
        <v>4</v>
      </c>
      <c r="H361" s="90" t="s">
        <v>607</v>
      </c>
      <c r="I361" s="48" t="s">
        <v>515</v>
      </c>
      <c r="J361" s="47" t="s">
        <v>458</v>
      </c>
      <c r="N361" t="s">
        <v>90</v>
      </c>
      <c r="O361" t="s">
        <v>90</v>
      </c>
      <c r="P361" t="s">
        <v>90</v>
      </c>
      <c r="Q361" t="s">
        <v>90</v>
      </c>
      <c r="R361" t="s">
        <v>90</v>
      </c>
      <c r="S361" t="s">
        <v>90</v>
      </c>
      <c r="T361" t="s">
        <v>90</v>
      </c>
      <c r="U361" t="s">
        <v>90</v>
      </c>
      <c r="V361" t="s">
        <v>90</v>
      </c>
    </row>
    <row r="362" spans="1:22" ht="20">
      <c r="A362" s="46">
        <v>37414</v>
      </c>
      <c r="B362" s="45" t="s">
        <v>872</v>
      </c>
      <c r="C362" s="45" t="s">
        <v>90</v>
      </c>
      <c r="D362" s="47">
        <v>2</v>
      </c>
      <c r="E362" s="47" t="s">
        <v>47</v>
      </c>
      <c r="F362" s="47" t="s">
        <v>88</v>
      </c>
      <c r="G362" s="47">
        <v>4</v>
      </c>
      <c r="H362" s="90" t="s">
        <v>608</v>
      </c>
      <c r="I362" s="48" t="s">
        <v>515</v>
      </c>
      <c r="J362" s="47" t="s">
        <v>458</v>
      </c>
      <c r="N362" t="s">
        <v>90</v>
      </c>
      <c r="O362" t="s">
        <v>90</v>
      </c>
      <c r="P362" t="s">
        <v>90</v>
      </c>
      <c r="Q362" t="s">
        <v>90</v>
      </c>
      <c r="R362" t="s">
        <v>90</v>
      </c>
      <c r="S362" t="s">
        <v>90</v>
      </c>
      <c r="T362" t="s">
        <v>90</v>
      </c>
      <c r="U362" t="s">
        <v>90</v>
      </c>
      <c r="V362" t="s">
        <v>90</v>
      </c>
    </row>
    <row r="363" spans="1:22" ht="20">
      <c r="A363" s="46">
        <v>37415</v>
      </c>
      <c r="B363" s="45" t="s">
        <v>873</v>
      </c>
      <c r="C363" s="45" t="s">
        <v>90</v>
      </c>
      <c r="D363" s="47">
        <v>2</v>
      </c>
      <c r="E363" s="47" t="s">
        <v>69</v>
      </c>
      <c r="F363" s="47" t="s">
        <v>468</v>
      </c>
      <c r="G363" s="47">
        <v>4</v>
      </c>
      <c r="H363" s="90" t="s">
        <v>609</v>
      </c>
      <c r="I363" s="48" t="s">
        <v>515</v>
      </c>
      <c r="J363" s="47" t="s">
        <v>458</v>
      </c>
      <c r="N363" t="s">
        <v>90</v>
      </c>
      <c r="O363" t="s">
        <v>90</v>
      </c>
      <c r="P363" t="s">
        <v>90</v>
      </c>
      <c r="Q363" t="s">
        <v>90</v>
      </c>
      <c r="R363" t="s">
        <v>90</v>
      </c>
      <c r="S363" t="s">
        <v>90</v>
      </c>
      <c r="T363" t="s">
        <v>90</v>
      </c>
      <c r="U363" t="s">
        <v>90</v>
      </c>
      <c r="V363" t="s">
        <v>90</v>
      </c>
    </row>
    <row r="364" spans="1:22" ht="20">
      <c r="A364" s="46">
        <v>37416</v>
      </c>
      <c r="B364" s="45" t="s">
        <v>874</v>
      </c>
      <c r="C364" s="45" t="s">
        <v>90</v>
      </c>
      <c r="D364" s="47">
        <v>2</v>
      </c>
      <c r="E364" s="47" t="s">
        <v>47</v>
      </c>
      <c r="F364" s="47" t="s">
        <v>468</v>
      </c>
      <c r="G364" s="47">
        <v>4</v>
      </c>
      <c r="H364" s="90" t="s">
        <v>610</v>
      </c>
      <c r="I364" s="48" t="s">
        <v>515</v>
      </c>
      <c r="J364" s="47" t="s">
        <v>458</v>
      </c>
      <c r="N364" t="s">
        <v>90</v>
      </c>
      <c r="O364" t="s">
        <v>90</v>
      </c>
      <c r="P364" t="s">
        <v>90</v>
      </c>
      <c r="Q364" t="s">
        <v>90</v>
      </c>
      <c r="R364" t="s">
        <v>90</v>
      </c>
      <c r="S364" t="s">
        <v>90</v>
      </c>
      <c r="T364" t="s">
        <v>90</v>
      </c>
      <c r="U364" t="s">
        <v>90</v>
      </c>
      <c r="V364" t="s">
        <v>90</v>
      </c>
    </row>
    <row r="365" spans="1:22" ht="20">
      <c r="A365" s="46">
        <v>37417</v>
      </c>
      <c r="B365" s="45" t="s">
        <v>875</v>
      </c>
      <c r="C365" s="45" t="s">
        <v>90</v>
      </c>
      <c r="D365" s="47">
        <v>2</v>
      </c>
      <c r="E365" s="47" t="s">
        <v>69</v>
      </c>
      <c r="F365" s="47" t="s">
        <v>516</v>
      </c>
      <c r="G365" s="47">
        <v>4</v>
      </c>
      <c r="H365" s="90" t="s">
        <v>611</v>
      </c>
      <c r="I365" s="48" t="s">
        <v>515</v>
      </c>
      <c r="J365" s="47" t="s">
        <v>458</v>
      </c>
      <c r="N365" t="s">
        <v>90</v>
      </c>
      <c r="O365" t="s">
        <v>90</v>
      </c>
      <c r="P365" t="s">
        <v>90</v>
      </c>
      <c r="Q365" t="s">
        <v>90</v>
      </c>
      <c r="R365" t="s">
        <v>90</v>
      </c>
      <c r="S365" t="s">
        <v>90</v>
      </c>
      <c r="T365" t="s">
        <v>90</v>
      </c>
      <c r="U365" t="s">
        <v>90</v>
      </c>
      <c r="V365" t="s">
        <v>90</v>
      </c>
    </row>
    <row r="366" spans="1:22" ht="20">
      <c r="A366" s="46">
        <v>37418</v>
      </c>
      <c r="B366" s="45" t="s">
        <v>876</v>
      </c>
      <c r="C366" s="45" t="s">
        <v>90</v>
      </c>
      <c r="D366" s="47">
        <v>2</v>
      </c>
      <c r="E366" s="47" t="s">
        <v>47</v>
      </c>
      <c r="F366" s="47" t="s">
        <v>516</v>
      </c>
      <c r="G366" s="47">
        <v>4</v>
      </c>
      <c r="H366" s="90" t="s">
        <v>612</v>
      </c>
      <c r="I366" s="48" t="s">
        <v>515</v>
      </c>
      <c r="J366" s="47" t="s">
        <v>458</v>
      </c>
      <c r="N366" t="s">
        <v>90</v>
      </c>
      <c r="O366" t="s">
        <v>90</v>
      </c>
      <c r="P366" t="s">
        <v>90</v>
      </c>
      <c r="Q366" t="s">
        <v>90</v>
      </c>
      <c r="R366" t="s">
        <v>90</v>
      </c>
      <c r="S366" t="s">
        <v>90</v>
      </c>
      <c r="T366" t="s">
        <v>90</v>
      </c>
      <c r="U366" t="s">
        <v>90</v>
      </c>
      <c r="V366" t="s">
        <v>90</v>
      </c>
    </row>
    <row r="367" spans="1:22" ht="20">
      <c r="A367" s="46">
        <v>37419</v>
      </c>
      <c r="B367" s="45" t="s">
        <v>877</v>
      </c>
      <c r="C367" s="45" t="s">
        <v>90</v>
      </c>
      <c r="D367" s="47">
        <v>2</v>
      </c>
      <c r="E367" s="47" t="s">
        <v>69</v>
      </c>
      <c r="F367" s="47" t="s">
        <v>92</v>
      </c>
      <c r="G367" s="47">
        <v>3</v>
      </c>
      <c r="H367" s="90" t="s">
        <v>613</v>
      </c>
      <c r="I367" s="48" t="s">
        <v>515</v>
      </c>
      <c r="J367" s="47" t="s">
        <v>458</v>
      </c>
      <c r="N367" t="s">
        <v>90</v>
      </c>
      <c r="O367" t="s">
        <v>90</v>
      </c>
      <c r="P367" t="s">
        <v>90</v>
      </c>
      <c r="Q367" t="s">
        <v>90</v>
      </c>
      <c r="R367" t="s">
        <v>90</v>
      </c>
      <c r="S367" t="s">
        <v>90</v>
      </c>
      <c r="T367" t="s">
        <v>90</v>
      </c>
      <c r="U367" t="s">
        <v>90</v>
      </c>
      <c r="V367" t="s">
        <v>90</v>
      </c>
    </row>
    <row r="368" spans="1:22" ht="20">
      <c r="A368" s="46">
        <v>37420</v>
      </c>
      <c r="B368" s="45" t="s">
        <v>878</v>
      </c>
      <c r="C368" s="45" t="s">
        <v>90</v>
      </c>
      <c r="D368" s="47">
        <v>2</v>
      </c>
      <c r="E368" s="47" t="s">
        <v>47</v>
      </c>
      <c r="F368" s="47" t="s">
        <v>92</v>
      </c>
      <c r="G368" s="47">
        <v>3</v>
      </c>
      <c r="H368" s="90" t="s">
        <v>614</v>
      </c>
      <c r="I368" s="48" t="s">
        <v>515</v>
      </c>
      <c r="J368" s="47" t="s">
        <v>458</v>
      </c>
      <c r="N368" t="s">
        <v>90</v>
      </c>
      <c r="O368" t="s">
        <v>90</v>
      </c>
      <c r="P368" t="s">
        <v>90</v>
      </c>
      <c r="Q368" t="s">
        <v>90</v>
      </c>
      <c r="R368" t="s">
        <v>90</v>
      </c>
      <c r="S368" t="s">
        <v>90</v>
      </c>
      <c r="T368" t="s">
        <v>90</v>
      </c>
      <c r="U368" t="s">
        <v>90</v>
      </c>
      <c r="V368" t="s">
        <v>90</v>
      </c>
    </row>
    <row r="369" spans="1:22" ht="20">
      <c r="A369" s="46">
        <v>37421</v>
      </c>
      <c r="B369" s="45" t="s">
        <v>879</v>
      </c>
      <c r="C369" s="45" t="s">
        <v>90</v>
      </c>
      <c r="D369" s="47">
        <v>2</v>
      </c>
      <c r="E369" s="47" t="s">
        <v>467</v>
      </c>
      <c r="F369" s="47" t="s">
        <v>510</v>
      </c>
      <c r="G369" s="47">
        <v>5</v>
      </c>
      <c r="H369" s="90" t="s">
        <v>615</v>
      </c>
      <c r="I369" s="48">
        <v>2</v>
      </c>
      <c r="J369" s="47" t="s">
        <v>458</v>
      </c>
      <c r="N369" t="s">
        <v>90</v>
      </c>
      <c r="O369" t="s">
        <v>90</v>
      </c>
      <c r="P369" t="s">
        <v>90</v>
      </c>
      <c r="Q369" t="s">
        <v>90</v>
      </c>
      <c r="R369" t="s">
        <v>90</v>
      </c>
      <c r="S369" t="s">
        <v>90</v>
      </c>
      <c r="T369" t="s">
        <v>90</v>
      </c>
      <c r="U369" t="s">
        <v>90</v>
      </c>
      <c r="V369" t="s">
        <v>90</v>
      </c>
    </row>
    <row r="370" spans="1:22" ht="20">
      <c r="A370" s="46">
        <v>37422</v>
      </c>
      <c r="B370" s="45" t="s">
        <v>880</v>
      </c>
      <c r="C370" s="45" t="s">
        <v>90</v>
      </c>
      <c r="D370" s="47">
        <v>2</v>
      </c>
      <c r="E370" s="47" t="s">
        <v>47</v>
      </c>
      <c r="F370" s="47" t="s">
        <v>513</v>
      </c>
      <c r="G370" s="47">
        <v>4</v>
      </c>
      <c r="H370" s="90" t="s">
        <v>616</v>
      </c>
      <c r="I370" s="48">
        <v>2</v>
      </c>
      <c r="J370" s="47" t="s">
        <v>458</v>
      </c>
      <c r="N370" t="s">
        <v>90</v>
      </c>
      <c r="O370" t="s">
        <v>90</v>
      </c>
      <c r="P370" t="s">
        <v>90</v>
      </c>
      <c r="Q370" t="s">
        <v>90</v>
      </c>
      <c r="R370" t="s">
        <v>90</v>
      </c>
      <c r="S370" t="s">
        <v>90</v>
      </c>
      <c r="T370" t="s">
        <v>90</v>
      </c>
      <c r="U370" t="s">
        <v>90</v>
      </c>
      <c r="V370" t="s">
        <v>90</v>
      </c>
    </row>
    <row r="371" spans="1:22" ht="20">
      <c r="A371" s="46">
        <v>37423</v>
      </c>
      <c r="B371" s="45" t="s">
        <v>881</v>
      </c>
      <c r="C371" s="45" t="s">
        <v>90</v>
      </c>
      <c r="D371" s="47">
        <v>2</v>
      </c>
      <c r="E371" s="47" t="s">
        <v>467</v>
      </c>
      <c r="F371" s="47" t="s">
        <v>512</v>
      </c>
      <c r="G371" s="47">
        <v>1</v>
      </c>
      <c r="H371" s="90" t="s">
        <v>617</v>
      </c>
      <c r="I371" s="48">
        <v>2</v>
      </c>
      <c r="J371" s="47" t="s">
        <v>458</v>
      </c>
      <c r="N371" t="s">
        <v>90</v>
      </c>
      <c r="O371" t="s">
        <v>90</v>
      </c>
      <c r="P371" t="s">
        <v>90</v>
      </c>
      <c r="Q371" t="s">
        <v>90</v>
      </c>
      <c r="R371" t="s">
        <v>90</v>
      </c>
      <c r="S371" t="s">
        <v>90</v>
      </c>
      <c r="T371" t="s">
        <v>90</v>
      </c>
      <c r="U371" t="s">
        <v>90</v>
      </c>
      <c r="V371" t="s">
        <v>90</v>
      </c>
    </row>
    <row r="372" spans="1:22" ht="20">
      <c r="A372" s="46">
        <v>37424</v>
      </c>
      <c r="B372" s="45" t="s">
        <v>882</v>
      </c>
      <c r="C372" s="45" t="s">
        <v>90</v>
      </c>
      <c r="D372" s="47">
        <v>2</v>
      </c>
      <c r="E372" s="47" t="s">
        <v>47</v>
      </c>
      <c r="F372" s="47" t="s">
        <v>89</v>
      </c>
      <c r="G372" s="47">
        <v>1</v>
      </c>
      <c r="H372" s="90" t="s">
        <v>618</v>
      </c>
      <c r="I372" s="48">
        <v>2</v>
      </c>
      <c r="J372" s="47" t="s">
        <v>458</v>
      </c>
      <c r="N372" t="s">
        <v>90</v>
      </c>
      <c r="O372" t="s">
        <v>90</v>
      </c>
      <c r="P372" t="s">
        <v>90</v>
      </c>
      <c r="Q372" t="s">
        <v>90</v>
      </c>
      <c r="R372" t="s">
        <v>90</v>
      </c>
      <c r="S372" t="s">
        <v>90</v>
      </c>
      <c r="T372" t="s">
        <v>90</v>
      </c>
      <c r="U372" t="s">
        <v>90</v>
      </c>
      <c r="V372" t="s">
        <v>90</v>
      </c>
    </row>
    <row r="373" spans="1:22" ht="20">
      <c r="A373" s="46">
        <v>37425</v>
      </c>
      <c r="B373" s="45" t="s">
        <v>883</v>
      </c>
      <c r="C373" s="45"/>
      <c r="D373" s="47">
        <v>2</v>
      </c>
      <c r="E373" s="47" t="s">
        <v>413</v>
      </c>
      <c r="F373" s="47" t="s">
        <v>433</v>
      </c>
      <c r="G373" s="47">
        <v>4</v>
      </c>
      <c r="H373" s="90" t="s">
        <v>619</v>
      </c>
      <c r="I373" s="48" t="s">
        <v>502</v>
      </c>
      <c r="J373" s="47" t="s">
        <v>460</v>
      </c>
      <c r="N373" t="s">
        <v>90</v>
      </c>
      <c r="O373" t="s">
        <v>90</v>
      </c>
      <c r="P373" t="s">
        <v>90</v>
      </c>
      <c r="Q373" t="s">
        <v>90</v>
      </c>
      <c r="R373" t="s">
        <v>90</v>
      </c>
      <c r="S373" t="s">
        <v>90</v>
      </c>
      <c r="T373" t="s">
        <v>90</v>
      </c>
      <c r="U373" t="s">
        <v>90</v>
      </c>
      <c r="V373" t="s">
        <v>90</v>
      </c>
    </row>
    <row r="374" spans="1:22" ht="20">
      <c r="A374" s="46">
        <v>37426</v>
      </c>
      <c r="B374" s="45" t="s">
        <v>884</v>
      </c>
      <c r="C374" s="45"/>
      <c r="D374" s="47">
        <v>2</v>
      </c>
      <c r="E374" s="47" t="s">
        <v>469</v>
      </c>
      <c r="F374" s="47" t="s">
        <v>433</v>
      </c>
      <c r="G374" s="47">
        <v>4</v>
      </c>
      <c r="H374" s="90" t="s">
        <v>609</v>
      </c>
      <c r="I374" s="48" t="s">
        <v>502</v>
      </c>
      <c r="J374" s="47" t="s">
        <v>460</v>
      </c>
      <c r="N374" t="s">
        <v>90</v>
      </c>
      <c r="O374" t="s">
        <v>90</v>
      </c>
      <c r="P374" t="s">
        <v>90</v>
      </c>
      <c r="Q374" t="s">
        <v>90</v>
      </c>
      <c r="R374" t="s">
        <v>90</v>
      </c>
      <c r="S374" t="s">
        <v>90</v>
      </c>
      <c r="T374" t="s">
        <v>90</v>
      </c>
      <c r="U374" t="s">
        <v>90</v>
      </c>
      <c r="V374" t="s">
        <v>90</v>
      </c>
    </row>
    <row r="375" spans="1:22" ht="20">
      <c r="A375" s="46">
        <v>37427</v>
      </c>
      <c r="B375" s="45" t="s">
        <v>885</v>
      </c>
      <c r="C375" s="45"/>
      <c r="D375" s="47">
        <v>2</v>
      </c>
      <c r="E375" s="47" t="s">
        <v>517</v>
      </c>
      <c r="F375" s="47" t="s">
        <v>468</v>
      </c>
      <c r="G375" s="47">
        <v>5</v>
      </c>
      <c r="H375" s="90" t="s">
        <v>572</v>
      </c>
      <c r="I375" s="48" t="s">
        <v>502</v>
      </c>
      <c r="J375" s="47" t="s">
        <v>458</v>
      </c>
      <c r="N375" t="s">
        <v>90</v>
      </c>
      <c r="O375" t="s">
        <v>90</v>
      </c>
      <c r="P375" t="s">
        <v>90</v>
      </c>
      <c r="Q375" t="s">
        <v>90</v>
      </c>
      <c r="R375" t="s">
        <v>90</v>
      </c>
      <c r="S375" t="s">
        <v>90</v>
      </c>
      <c r="T375" t="s">
        <v>90</v>
      </c>
      <c r="U375" t="s">
        <v>90</v>
      </c>
      <c r="V375" t="s">
        <v>90</v>
      </c>
    </row>
    <row r="376" spans="1:22" ht="20">
      <c r="A376" s="46">
        <v>37428</v>
      </c>
      <c r="B376" s="45" t="s">
        <v>886</v>
      </c>
      <c r="C376" s="45"/>
      <c r="D376" s="47">
        <v>2</v>
      </c>
      <c r="E376" s="47" t="s">
        <v>413</v>
      </c>
      <c r="F376" s="47" t="s">
        <v>468</v>
      </c>
      <c r="G376" s="47">
        <v>5</v>
      </c>
      <c r="H376" s="90" t="s">
        <v>573</v>
      </c>
      <c r="I376" s="48" t="s">
        <v>502</v>
      </c>
      <c r="J376" s="47" t="s">
        <v>458</v>
      </c>
      <c r="N376" t="s">
        <v>90</v>
      </c>
      <c r="O376" t="s">
        <v>90</v>
      </c>
      <c r="P376" t="s">
        <v>90</v>
      </c>
      <c r="Q376" t="s">
        <v>90</v>
      </c>
      <c r="R376" t="s">
        <v>90</v>
      </c>
      <c r="S376" t="s">
        <v>90</v>
      </c>
      <c r="T376" t="s">
        <v>90</v>
      </c>
      <c r="U376" t="s">
        <v>90</v>
      </c>
      <c r="V376" t="s">
        <v>90</v>
      </c>
    </row>
    <row r="377" spans="1:22" ht="20">
      <c r="A377" s="46">
        <v>37429</v>
      </c>
      <c r="B377" s="45" t="s">
        <v>887</v>
      </c>
      <c r="C377" s="45"/>
      <c r="D377" s="47">
        <v>2</v>
      </c>
      <c r="E377" s="47" t="s">
        <v>469</v>
      </c>
      <c r="F377" s="47" t="s">
        <v>468</v>
      </c>
      <c r="G377" s="47">
        <v>4</v>
      </c>
      <c r="H377" s="90" t="s">
        <v>574</v>
      </c>
      <c r="I377" s="48" t="s">
        <v>502</v>
      </c>
      <c r="J377" s="47" t="s">
        <v>458</v>
      </c>
      <c r="N377" t="s">
        <v>90</v>
      </c>
      <c r="O377" t="s">
        <v>90</v>
      </c>
      <c r="P377" t="s">
        <v>90</v>
      </c>
      <c r="Q377" t="s">
        <v>90</v>
      </c>
      <c r="R377" t="s">
        <v>90</v>
      </c>
      <c r="S377" t="s">
        <v>90</v>
      </c>
      <c r="T377" t="s">
        <v>90</v>
      </c>
      <c r="U377" t="s">
        <v>90</v>
      </c>
      <c r="V377" t="s">
        <v>90</v>
      </c>
    </row>
    <row r="378" spans="1:22" ht="20">
      <c r="A378" s="46">
        <v>37430</v>
      </c>
      <c r="B378" s="45" t="s">
        <v>888</v>
      </c>
      <c r="C378" s="45"/>
      <c r="D378" s="47">
        <v>2</v>
      </c>
      <c r="E378" s="47" t="s">
        <v>413</v>
      </c>
      <c r="F378" s="47" t="s">
        <v>474</v>
      </c>
      <c r="G378" s="47"/>
      <c r="H378" s="90" t="s">
        <v>575</v>
      </c>
      <c r="I378" s="48" t="s">
        <v>502</v>
      </c>
      <c r="J378" s="47" t="s">
        <v>460</v>
      </c>
      <c r="N378" t="s">
        <v>90</v>
      </c>
      <c r="O378" t="s">
        <v>90</v>
      </c>
      <c r="P378" t="s">
        <v>90</v>
      </c>
      <c r="Q378" t="s">
        <v>90</v>
      </c>
      <c r="R378" t="s">
        <v>90</v>
      </c>
      <c r="S378" t="s">
        <v>90</v>
      </c>
      <c r="T378" t="s">
        <v>90</v>
      </c>
      <c r="U378" t="s">
        <v>90</v>
      </c>
      <c r="V378" t="s">
        <v>90</v>
      </c>
    </row>
    <row r="379" spans="1:22" ht="20">
      <c r="A379" s="46">
        <v>37431</v>
      </c>
      <c r="B379" s="45" t="s">
        <v>889</v>
      </c>
      <c r="C379" s="45"/>
      <c r="D379" s="47">
        <v>2</v>
      </c>
      <c r="E379" s="47" t="s">
        <v>413</v>
      </c>
      <c r="F379" s="47" t="s">
        <v>468</v>
      </c>
      <c r="G379" s="47">
        <v>5</v>
      </c>
      <c r="H379" s="90" t="s">
        <v>576</v>
      </c>
      <c r="I379" s="48" t="s">
        <v>502</v>
      </c>
      <c r="J379" s="47" t="s">
        <v>460</v>
      </c>
      <c r="N379" t="s">
        <v>90</v>
      </c>
      <c r="O379" t="s">
        <v>90</v>
      </c>
      <c r="P379" t="s">
        <v>90</v>
      </c>
      <c r="Q379" t="s">
        <v>90</v>
      </c>
      <c r="R379" t="s">
        <v>90</v>
      </c>
      <c r="S379" t="s">
        <v>90</v>
      </c>
      <c r="T379" t="s">
        <v>90</v>
      </c>
      <c r="U379" t="s">
        <v>90</v>
      </c>
      <c r="V379" t="s">
        <v>90</v>
      </c>
    </row>
    <row r="380" spans="1:22" ht="20">
      <c r="A380" s="46">
        <v>37432</v>
      </c>
      <c r="B380" s="45" t="s">
        <v>890</v>
      </c>
      <c r="C380" s="45"/>
      <c r="D380" s="47">
        <v>2</v>
      </c>
      <c r="E380" s="47" t="s">
        <v>469</v>
      </c>
      <c r="F380" s="47" t="s">
        <v>468</v>
      </c>
      <c r="G380" s="47">
        <v>5</v>
      </c>
      <c r="H380" s="90" t="s">
        <v>577</v>
      </c>
      <c r="I380" s="48" t="s">
        <v>502</v>
      </c>
      <c r="J380" s="47" t="s">
        <v>460</v>
      </c>
      <c r="N380" t="s">
        <v>90</v>
      </c>
      <c r="O380" t="s">
        <v>90</v>
      </c>
      <c r="P380" t="s">
        <v>90</v>
      </c>
      <c r="Q380" t="s">
        <v>90</v>
      </c>
      <c r="R380" t="s">
        <v>90</v>
      </c>
      <c r="S380" t="s">
        <v>90</v>
      </c>
      <c r="T380" t="s">
        <v>90</v>
      </c>
      <c r="U380" t="s">
        <v>90</v>
      </c>
      <c r="V380" t="s">
        <v>90</v>
      </c>
    </row>
    <row r="381" spans="1:22" ht="20">
      <c r="A381" s="46">
        <v>37433</v>
      </c>
      <c r="B381" s="45" t="s">
        <v>891</v>
      </c>
      <c r="C381" s="45"/>
      <c r="D381" s="47">
        <v>2</v>
      </c>
      <c r="E381" s="47" t="s">
        <v>413</v>
      </c>
      <c r="F381" s="47" t="s">
        <v>474</v>
      </c>
      <c r="G381" s="47"/>
      <c r="H381" s="90" t="s">
        <v>578</v>
      </c>
      <c r="I381" s="48" t="s">
        <v>502</v>
      </c>
      <c r="J381" s="47" t="s">
        <v>458</v>
      </c>
      <c r="N381" t="s">
        <v>90</v>
      </c>
      <c r="O381" t="s">
        <v>90</v>
      </c>
      <c r="P381" t="s">
        <v>90</v>
      </c>
      <c r="Q381" t="s">
        <v>90</v>
      </c>
      <c r="R381" t="s">
        <v>90</v>
      </c>
      <c r="S381" t="s">
        <v>90</v>
      </c>
      <c r="T381" t="s">
        <v>90</v>
      </c>
      <c r="U381" t="s">
        <v>90</v>
      </c>
      <c r="V381" t="s">
        <v>90</v>
      </c>
    </row>
    <row r="382" spans="1:22" ht="20">
      <c r="A382" s="46">
        <v>37434</v>
      </c>
      <c r="B382" s="45" t="s">
        <v>892</v>
      </c>
      <c r="C382" s="45"/>
      <c r="D382" s="47">
        <v>2</v>
      </c>
      <c r="E382" s="47" t="s">
        <v>413</v>
      </c>
      <c r="F382" s="47" t="s">
        <v>474</v>
      </c>
      <c r="G382" s="47">
        <v>4</v>
      </c>
      <c r="H382" s="90" t="s">
        <v>579</v>
      </c>
      <c r="I382" s="48" t="s">
        <v>502</v>
      </c>
      <c r="J382" s="47" t="s">
        <v>458</v>
      </c>
      <c r="N382" t="s">
        <v>90</v>
      </c>
      <c r="O382" t="s">
        <v>90</v>
      </c>
      <c r="P382" t="s">
        <v>90</v>
      </c>
      <c r="Q382" t="s">
        <v>90</v>
      </c>
      <c r="R382" t="s">
        <v>90</v>
      </c>
      <c r="S382" t="s">
        <v>90</v>
      </c>
      <c r="T382" t="s">
        <v>90</v>
      </c>
      <c r="U382" t="s">
        <v>90</v>
      </c>
      <c r="V382" t="s">
        <v>90</v>
      </c>
    </row>
    <row r="383" spans="1:22" ht="20">
      <c r="A383" s="46">
        <v>37435</v>
      </c>
      <c r="B383" s="45" t="s">
        <v>893</v>
      </c>
      <c r="C383" s="45"/>
      <c r="D383" s="47">
        <v>2</v>
      </c>
      <c r="E383" s="47" t="s">
        <v>469</v>
      </c>
      <c r="F383" s="47" t="s">
        <v>466</v>
      </c>
      <c r="G383" s="47">
        <v>4</v>
      </c>
      <c r="H383" s="90" t="s">
        <v>580</v>
      </c>
      <c r="I383" s="48" t="s">
        <v>502</v>
      </c>
      <c r="J383" s="47" t="s">
        <v>458</v>
      </c>
      <c r="N383" t="s">
        <v>90</v>
      </c>
      <c r="O383" t="s">
        <v>90</v>
      </c>
      <c r="P383" t="s">
        <v>90</v>
      </c>
      <c r="Q383" t="s">
        <v>90</v>
      </c>
      <c r="R383" t="s">
        <v>90</v>
      </c>
      <c r="S383" t="s">
        <v>90</v>
      </c>
      <c r="T383" t="s">
        <v>90</v>
      </c>
      <c r="U383" t="s">
        <v>90</v>
      </c>
      <c r="V383" t="s">
        <v>90</v>
      </c>
    </row>
    <row r="384" spans="1:22" ht="20">
      <c r="A384" s="46">
        <v>37436</v>
      </c>
      <c r="B384" s="45" t="s">
        <v>894</v>
      </c>
      <c r="C384" s="45"/>
      <c r="D384" s="47">
        <v>2</v>
      </c>
      <c r="E384" s="47" t="s">
        <v>467</v>
      </c>
      <c r="F384" s="47" t="s">
        <v>445</v>
      </c>
      <c r="G384" s="47">
        <v>5</v>
      </c>
      <c r="H384" s="90" t="s">
        <v>581</v>
      </c>
      <c r="I384" s="48" t="s">
        <v>502</v>
      </c>
      <c r="J384" s="47" t="s">
        <v>460</v>
      </c>
      <c r="N384" t="s">
        <v>90</v>
      </c>
      <c r="O384" t="s">
        <v>90</v>
      </c>
      <c r="P384" t="s">
        <v>90</v>
      </c>
      <c r="Q384" t="s">
        <v>90</v>
      </c>
      <c r="R384" t="s">
        <v>90</v>
      </c>
      <c r="S384" t="s">
        <v>90</v>
      </c>
      <c r="T384" t="s">
        <v>90</v>
      </c>
      <c r="U384" t="s">
        <v>90</v>
      </c>
      <c r="V384" t="s">
        <v>90</v>
      </c>
    </row>
    <row r="385" spans="1:22" ht="20">
      <c r="A385" s="46">
        <v>37437</v>
      </c>
      <c r="B385" s="45" t="s">
        <v>895</v>
      </c>
      <c r="C385" s="45"/>
      <c r="D385" s="47">
        <v>2</v>
      </c>
      <c r="E385" s="47" t="s">
        <v>434</v>
      </c>
      <c r="F385" s="47" t="s">
        <v>463</v>
      </c>
      <c r="G385" s="47">
        <v>4</v>
      </c>
      <c r="H385" s="90" t="s">
        <v>582</v>
      </c>
      <c r="I385" s="48" t="s">
        <v>502</v>
      </c>
      <c r="J385" s="47" t="s">
        <v>458</v>
      </c>
      <c r="N385" t="s">
        <v>90</v>
      </c>
      <c r="O385" t="s">
        <v>90</v>
      </c>
      <c r="P385" t="s">
        <v>90</v>
      </c>
      <c r="Q385" t="s">
        <v>90</v>
      </c>
      <c r="R385" t="s">
        <v>90</v>
      </c>
      <c r="S385" t="s">
        <v>90</v>
      </c>
      <c r="T385" t="s">
        <v>90</v>
      </c>
      <c r="U385" t="s">
        <v>90</v>
      </c>
      <c r="V385" t="s">
        <v>90</v>
      </c>
    </row>
    <row r="386" spans="1:22" ht="20">
      <c r="A386" s="46">
        <v>37438</v>
      </c>
      <c r="B386" s="45" t="s">
        <v>896</v>
      </c>
      <c r="C386" s="45"/>
      <c r="D386" s="47">
        <v>2</v>
      </c>
      <c r="E386" s="47" t="s">
        <v>469</v>
      </c>
      <c r="F386" s="47" t="s">
        <v>463</v>
      </c>
      <c r="G386" s="47">
        <v>4</v>
      </c>
      <c r="H386" s="90" t="s">
        <v>583</v>
      </c>
      <c r="I386" s="48" t="s">
        <v>502</v>
      </c>
      <c r="J386" s="47" t="s">
        <v>458</v>
      </c>
      <c r="N386" t="s">
        <v>90</v>
      </c>
      <c r="O386" t="s">
        <v>90</v>
      </c>
      <c r="P386" t="s">
        <v>90</v>
      </c>
      <c r="Q386" t="s">
        <v>90</v>
      </c>
      <c r="R386" t="s">
        <v>90</v>
      </c>
      <c r="S386" t="s">
        <v>90</v>
      </c>
      <c r="T386" t="s">
        <v>90</v>
      </c>
      <c r="U386" t="s">
        <v>90</v>
      </c>
      <c r="V386" t="s">
        <v>90</v>
      </c>
    </row>
    <row r="387" spans="1:22" ht="20">
      <c r="A387" s="46">
        <v>37439</v>
      </c>
      <c r="B387" s="45" t="s">
        <v>897</v>
      </c>
      <c r="C387" s="45"/>
      <c r="D387" s="47">
        <v>2</v>
      </c>
      <c r="E387" s="47" t="s">
        <v>434</v>
      </c>
      <c r="F387" s="47" t="s">
        <v>463</v>
      </c>
      <c r="G387" s="47">
        <v>5</v>
      </c>
      <c r="H387" s="90" t="s">
        <v>584</v>
      </c>
      <c r="I387" s="48" t="s">
        <v>502</v>
      </c>
      <c r="J387" s="47" t="s">
        <v>460</v>
      </c>
      <c r="N387" t="s">
        <v>90</v>
      </c>
      <c r="O387" t="s">
        <v>90</v>
      </c>
      <c r="P387" t="s">
        <v>90</v>
      </c>
      <c r="Q387" t="s">
        <v>90</v>
      </c>
      <c r="R387" t="s">
        <v>90</v>
      </c>
      <c r="S387" t="s">
        <v>90</v>
      </c>
      <c r="T387" t="s">
        <v>90</v>
      </c>
      <c r="U387" t="s">
        <v>90</v>
      </c>
      <c r="V387" t="s">
        <v>90</v>
      </c>
    </row>
    <row r="388" spans="1:22" ht="20">
      <c r="A388" s="46">
        <v>37440</v>
      </c>
      <c r="B388" s="45" t="s">
        <v>898</v>
      </c>
      <c r="C388" s="45"/>
      <c r="D388" s="47">
        <v>2</v>
      </c>
      <c r="E388" s="47" t="s">
        <v>413</v>
      </c>
      <c r="F388" s="47" t="s">
        <v>48</v>
      </c>
      <c r="G388" s="47">
        <v>5</v>
      </c>
      <c r="H388" s="90" t="s">
        <v>585</v>
      </c>
      <c r="I388" s="48" t="s">
        <v>502</v>
      </c>
      <c r="J388" s="47" t="s">
        <v>458</v>
      </c>
      <c r="N388" t="s">
        <v>90</v>
      </c>
      <c r="O388" t="s">
        <v>90</v>
      </c>
      <c r="P388" t="s">
        <v>90</v>
      </c>
      <c r="Q388" t="s">
        <v>90</v>
      </c>
      <c r="R388" t="s">
        <v>90</v>
      </c>
      <c r="S388" t="s">
        <v>90</v>
      </c>
      <c r="T388" t="s">
        <v>90</v>
      </c>
      <c r="U388" t="s">
        <v>90</v>
      </c>
      <c r="V388" t="s">
        <v>90</v>
      </c>
    </row>
    <row r="389" spans="1:22" ht="20">
      <c r="A389" s="46">
        <v>37441</v>
      </c>
      <c r="B389" s="45" t="s">
        <v>899</v>
      </c>
      <c r="C389" s="45"/>
      <c r="D389" s="47">
        <v>2</v>
      </c>
      <c r="E389" s="47" t="s">
        <v>469</v>
      </c>
      <c r="F389" s="47" t="s">
        <v>474</v>
      </c>
      <c r="G389" s="47"/>
      <c r="H389" s="90" t="s">
        <v>586</v>
      </c>
      <c r="I389" s="48" t="s">
        <v>502</v>
      </c>
      <c r="J389" s="47" t="s">
        <v>458</v>
      </c>
      <c r="N389" t="s">
        <v>90</v>
      </c>
      <c r="O389" t="s">
        <v>90</v>
      </c>
      <c r="P389" t="s">
        <v>90</v>
      </c>
      <c r="Q389" t="s">
        <v>90</v>
      </c>
      <c r="R389" t="s">
        <v>90</v>
      </c>
      <c r="S389" t="s">
        <v>90</v>
      </c>
      <c r="T389" t="s">
        <v>90</v>
      </c>
      <c r="U389" t="s">
        <v>90</v>
      </c>
      <c r="V389" t="s">
        <v>90</v>
      </c>
    </row>
    <row r="390" spans="1:22" ht="20">
      <c r="A390" s="46">
        <v>37442</v>
      </c>
      <c r="B390" s="45" t="s">
        <v>900</v>
      </c>
      <c r="C390" s="45"/>
      <c r="D390" s="47">
        <v>2</v>
      </c>
      <c r="E390" s="47" t="s">
        <v>461</v>
      </c>
      <c r="F390" s="47" t="s">
        <v>468</v>
      </c>
      <c r="G390" s="47">
        <v>4</v>
      </c>
      <c r="H390" s="90" t="s">
        <v>587</v>
      </c>
      <c r="I390" s="48" t="s">
        <v>502</v>
      </c>
      <c r="J390" s="47" t="s">
        <v>460</v>
      </c>
      <c r="N390" t="s">
        <v>90</v>
      </c>
      <c r="O390" t="s">
        <v>90</v>
      </c>
      <c r="P390" t="s">
        <v>90</v>
      </c>
      <c r="Q390" t="s">
        <v>90</v>
      </c>
      <c r="R390" t="s">
        <v>90</v>
      </c>
      <c r="S390" t="s">
        <v>90</v>
      </c>
      <c r="T390" t="s">
        <v>90</v>
      </c>
      <c r="U390" t="s">
        <v>90</v>
      </c>
      <c r="V390" t="s">
        <v>90</v>
      </c>
    </row>
    <row r="391" spans="1:22" ht="20">
      <c r="A391" s="46">
        <v>37443</v>
      </c>
      <c r="B391" s="45" t="s">
        <v>901</v>
      </c>
      <c r="C391" s="45"/>
      <c r="D391" s="47">
        <v>2</v>
      </c>
      <c r="E391" s="47" t="s">
        <v>434</v>
      </c>
      <c r="F391" s="47" t="s">
        <v>463</v>
      </c>
      <c r="G391" s="47">
        <v>4</v>
      </c>
      <c r="H391" s="90" t="s">
        <v>588</v>
      </c>
      <c r="I391" s="48" t="s">
        <v>502</v>
      </c>
      <c r="J391" s="47" t="s">
        <v>460</v>
      </c>
      <c r="N391" t="s">
        <v>90</v>
      </c>
      <c r="O391" t="s">
        <v>90</v>
      </c>
      <c r="P391" t="s">
        <v>90</v>
      </c>
      <c r="Q391" t="s">
        <v>90</v>
      </c>
      <c r="R391" t="s">
        <v>90</v>
      </c>
      <c r="S391" t="s">
        <v>90</v>
      </c>
      <c r="T391" t="s">
        <v>90</v>
      </c>
      <c r="U391" t="s">
        <v>90</v>
      </c>
      <c r="V391" t="s">
        <v>90</v>
      </c>
    </row>
    <row r="392" spans="1:22" ht="20">
      <c r="A392" s="46">
        <v>37444</v>
      </c>
      <c r="B392" s="45" t="s">
        <v>902</v>
      </c>
      <c r="C392" s="45"/>
      <c r="D392" s="47">
        <v>2</v>
      </c>
      <c r="E392" s="47" t="s">
        <v>434</v>
      </c>
      <c r="F392" s="47" t="s">
        <v>468</v>
      </c>
      <c r="G392" s="47">
        <v>4</v>
      </c>
      <c r="H392" s="90" t="s">
        <v>589</v>
      </c>
      <c r="I392" s="48" t="s">
        <v>502</v>
      </c>
      <c r="J392" s="47" t="s">
        <v>458</v>
      </c>
      <c r="N392" t="s">
        <v>90</v>
      </c>
      <c r="O392" t="s">
        <v>90</v>
      </c>
      <c r="P392" t="s">
        <v>90</v>
      </c>
      <c r="Q392" t="s">
        <v>90</v>
      </c>
      <c r="R392" t="s">
        <v>90</v>
      </c>
      <c r="S392" t="s">
        <v>90</v>
      </c>
      <c r="T392" t="s">
        <v>90</v>
      </c>
      <c r="U392" t="s">
        <v>90</v>
      </c>
      <c r="V392" t="s">
        <v>90</v>
      </c>
    </row>
    <row r="393" spans="1:22" ht="20">
      <c r="A393" s="46">
        <v>37445</v>
      </c>
      <c r="B393" s="45" t="s">
        <v>903</v>
      </c>
      <c r="C393" s="45"/>
      <c r="D393" s="47">
        <v>2</v>
      </c>
      <c r="E393" s="47" t="s">
        <v>469</v>
      </c>
      <c r="F393" s="47" t="s">
        <v>48</v>
      </c>
      <c r="G393" s="47">
        <v>5</v>
      </c>
      <c r="H393" s="90" t="s">
        <v>590</v>
      </c>
      <c r="I393" s="48" t="s">
        <v>502</v>
      </c>
      <c r="J393" s="47" t="s">
        <v>460</v>
      </c>
      <c r="N393" t="s">
        <v>90</v>
      </c>
      <c r="O393" t="s">
        <v>90</v>
      </c>
      <c r="P393" t="s">
        <v>90</v>
      </c>
      <c r="Q393" t="s">
        <v>90</v>
      </c>
      <c r="R393" t="s">
        <v>90</v>
      </c>
      <c r="S393" t="s">
        <v>90</v>
      </c>
      <c r="T393" t="s">
        <v>90</v>
      </c>
      <c r="U393" t="s">
        <v>90</v>
      </c>
      <c r="V393" t="s">
        <v>90</v>
      </c>
    </row>
    <row r="394" spans="1:22" ht="20">
      <c r="A394" s="46">
        <v>37446</v>
      </c>
      <c r="B394" s="45" t="s">
        <v>904</v>
      </c>
      <c r="C394" s="45"/>
      <c r="D394" s="47">
        <v>2</v>
      </c>
      <c r="E394" s="47" t="s">
        <v>462</v>
      </c>
      <c r="F394" s="47" t="s">
        <v>463</v>
      </c>
      <c r="G394" s="47">
        <v>5</v>
      </c>
      <c r="H394" s="90" t="s">
        <v>591</v>
      </c>
      <c r="I394" s="48" t="s">
        <v>502</v>
      </c>
      <c r="J394" s="47" t="s">
        <v>460</v>
      </c>
      <c r="N394" t="s">
        <v>90</v>
      </c>
      <c r="O394" t="s">
        <v>90</v>
      </c>
      <c r="P394" t="s">
        <v>90</v>
      </c>
      <c r="Q394" t="s">
        <v>90</v>
      </c>
      <c r="R394" t="s">
        <v>90</v>
      </c>
      <c r="S394" t="s">
        <v>90</v>
      </c>
      <c r="T394" t="s">
        <v>90</v>
      </c>
      <c r="U394" t="s">
        <v>90</v>
      </c>
      <c r="V394" t="s">
        <v>90</v>
      </c>
    </row>
    <row r="395" spans="1:22" ht="20">
      <c r="A395" s="46">
        <v>37447</v>
      </c>
      <c r="B395" s="45" t="s">
        <v>905</v>
      </c>
      <c r="C395" s="45"/>
      <c r="D395" s="47">
        <v>2</v>
      </c>
      <c r="E395" s="47" t="s">
        <v>461</v>
      </c>
      <c r="F395" s="47" t="s">
        <v>48</v>
      </c>
      <c r="G395" s="47">
        <v>5</v>
      </c>
      <c r="H395" s="90" t="s">
        <v>592</v>
      </c>
      <c r="I395" s="48" t="s">
        <v>502</v>
      </c>
      <c r="J395" s="47" t="s">
        <v>203</v>
      </c>
      <c r="N395" t="s">
        <v>90</v>
      </c>
      <c r="O395" t="s">
        <v>90</v>
      </c>
      <c r="P395" t="s">
        <v>90</v>
      </c>
      <c r="Q395" t="s">
        <v>90</v>
      </c>
      <c r="R395" t="s">
        <v>90</v>
      </c>
      <c r="S395" t="s">
        <v>90</v>
      </c>
      <c r="T395" t="s">
        <v>90</v>
      </c>
      <c r="U395" t="s">
        <v>90</v>
      </c>
      <c r="V395" t="s">
        <v>90</v>
      </c>
    </row>
    <row r="396" spans="1:22" ht="20">
      <c r="A396" s="46">
        <v>37448</v>
      </c>
      <c r="B396" s="45" t="s">
        <v>906</v>
      </c>
      <c r="C396" s="45"/>
      <c r="D396" s="47">
        <v>2</v>
      </c>
      <c r="E396" s="47" t="s">
        <v>492</v>
      </c>
      <c r="F396" s="47" t="s">
        <v>491</v>
      </c>
      <c r="G396" s="47"/>
      <c r="H396" s="90" t="s">
        <v>593</v>
      </c>
      <c r="I396" s="48" t="s">
        <v>502</v>
      </c>
      <c r="J396" s="47" t="s">
        <v>460</v>
      </c>
      <c r="N396" t="s">
        <v>90</v>
      </c>
      <c r="O396" t="s">
        <v>90</v>
      </c>
      <c r="P396" t="s">
        <v>90</v>
      </c>
      <c r="Q396" t="s">
        <v>90</v>
      </c>
      <c r="R396" t="s">
        <v>90</v>
      </c>
      <c r="S396" t="s">
        <v>90</v>
      </c>
      <c r="T396" t="s">
        <v>90</v>
      </c>
      <c r="U396" t="s">
        <v>90</v>
      </c>
      <c r="V396" t="s">
        <v>90</v>
      </c>
    </row>
    <row r="397" spans="1:22" ht="20">
      <c r="A397" s="46">
        <v>37449</v>
      </c>
      <c r="B397" s="45" t="s">
        <v>907</v>
      </c>
      <c r="C397" s="45"/>
      <c r="D397" s="47">
        <v>2</v>
      </c>
      <c r="E397" s="47" t="s">
        <v>469</v>
      </c>
      <c r="F397" s="47" t="s">
        <v>445</v>
      </c>
      <c r="G397" s="47">
        <v>5</v>
      </c>
      <c r="H397" s="90" t="s">
        <v>594</v>
      </c>
      <c r="I397" s="48" t="s">
        <v>502</v>
      </c>
      <c r="J397" s="47" t="s">
        <v>460</v>
      </c>
      <c r="N397" t="s">
        <v>90</v>
      </c>
      <c r="O397" t="s">
        <v>90</v>
      </c>
      <c r="P397" t="s">
        <v>90</v>
      </c>
      <c r="Q397" t="s">
        <v>90</v>
      </c>
      <c r="R397" t="s">
        <v>90</v>
      </c>
      <c r="S397" t="s">
        <v>90</v>
      </c>
      <c r="T397" t="s">
        <v>90</v>
      </c>
      <c r="U397" t="s">
        <v>90</v>
      </c>
      <c r="V397" t="s">
        <v>90</v>
      </c>
    </row>
    <row r="398" spans="1:22" ht="20">
      <c r="A398" s="46">
        <v>38019</v>
      </c>
      <c r="B398" s="45" t="s">
        <v>673</v>
      </c>
      <c r="C398" s="45"/>
      <c r="D398" s="47">
        <v>4</v>
      </c>
      <c r="E398" s="47"/>
      <c r="F398" s="47" t="s">
        <v>498</v>
      </c>
      <c r="G398" s="47"/>
      <c r="H398" s="90" t="s">
        <v>595</v>
      </c>
      <c r="I398" s="48">
        <v>4</v>
      </c>
      <c r="J398" s="47" t="s">
        <v>458</v>
      </c>
      <c r="N398" t="s">
        <v>90</v>
      </c>
      <c r="P398" t="s">
        <v>90</v>
      </c>
      <c r="Q398" t="s">
        <v>90</v>
      </c>
      <c r="R398" t="s">
        <v>90</v>
      </c>
      <c r="S398" t="s">
        <v>90</v>
      </c>
      <c r="T398" t="s">
        <v>256</v>
      </c>
      <c r="U398" t="s">
        <v>256</v>
      </c>
      <c r="V398" t="s">
        <v>256</v>
      </c>
    </row>
    <row r="399" spans="1:22" ht="20">
      <c r="A399" s="46">
        <v>37450</v>
      </c>
      <c r="B399" s="45" t="s">
        <v>908</v>
      </c>
      <c r="C399" s="45" t="s">
        <v>90</v>
      </c>
      <c r="D399" s="47">
        <v>2</v>
      </c>
      <c r="E399" s="47" t="s">
        <v>462</v>
      </c>
      <c r="F399" s="47" t="s">
        <v>433</v>
      </c>
      <c r="G399" s="47">
        <v>4</v>
      </c>
      <c r="H399" s="90" t="s">
        <v>596</v>
      </c>
      <c r="I399" s="48">
        <v>1</v>
      </c>
      <c r="J399" s="47" t="s">
        <v>458</v>
      </c>
      <c r="N399" t="s">
        <v>90</v>
      </c>
      <c r="O399" t="s">
        <v>256</v>
      </c>
      <c r="P399" t="s">
        <v>90</v>
      </c>
      <c r="Q399" t="s">
        <v>90</v>
      </c>
      <c r="R399" t="s">
        <v>90</v>
      </c>
      <c r="S399" t="s">
        <v>90</v>
      </c>
      <c r="T399" t="s">
        <v>90</v>
      </c>
      <c r="U399" t="s">
        <v>90</v>
      </c>
      <c r="V399" t="s">
        <v>90</v>
      </c>
    </row>
    <row r="400" spans="1:22" ht="20">
      <c r="A400" s="46">
        <v>37451</v>
      </c>
      <c r="B400" s="45" t="s">
        <v>909</v>
      </c>
      <c r="C400" s="45" t="s">
        <v>90</v>
      </c>
      <c r="D400" s="47">
        <v>2</v>
      </c>
      <c r="E400" s="47" t="s">
        <v>424</v>
      </c>
      <c r="F400" s="47" t="s">
        <v>433</v>
      </c>
      <c r="G400" s="47">
        <v>5</v>
      </c>
      <c r="H400" s="90" t="s">
        <v>597</v>
      </c>
      <c r="I400" s="48">
        <v>2</v>
      </c>
      <c r="J400" s="47" t="s">
        <v>458</v>
      </c>
      <c r="N400" t="s">
        <v>90</v>
      </c>
      <c r="O400" t="s">
        <v>256</v>
      </c>
      <c r="P400" t="s">
        <v>90</v>
      </c>
      <c r="Q400" t="s">
        <v>90</v>
      </c>
      <c r="R400" t="s">
        <v>90</v>
      </c>
      <c r="S400" t="s">
        <v>90</v>
      </c>
      <c r="T400" t="s">
        <v>90</v>
      </c>
      <c r="U400" t="s">
        <v>90</v>
      </c>
      <c r="V400" t="s">
        <v>90</v>
      </c>
    </row>
    <row r="401" spans="1:22" ht="20">
      <c r="A401" s="46">
        <v>37452</v>
      </c>
      <c r="B401" s="45" t="s">
        <v>910</v>
      </c>
      <c r="C401" s="45" t="s">
        <v>90</v>
      </c>
      <c r="D401" s="47">
        <v>2</v>
      </c>
      <c r="E401" s="47" t="s">
        <v>69</v>
      </c>
      <c r="F401" s="47" t="s">
        <v>463</v>
      </c>
      <c r="G401" s="47">
        <v>4</v>
      </c>
      <c r="H401" s="90" t="s">
        <v>598</v>
      </c>
      <c r="I401" s="48">
        <v>2</v>
      </c>
      <c r="J401" s="47" t="s">
        <v>458</v>
      </c>
      <c r="N401" t="s">
        <v>90</v>
      </c>
      <c r="O401" t="s">
        <v>256</v>
      </c>
      <c r="P401" t="s">
        <v>90</v>
      </c>
      <c r="Q401" t="s">
        <v>90</v>
      </c>
      <c r="R401" t="s">
        <v>90</v>
      </c>
      <c r="S401" t="s">
        <v>90</v>
      </c>
      <c r="T401" t="s">
        <v>90</v>
      </c>
      <c r="U401" t="s">
        <v>90</v>
      </c>
      <c r="V401" t="s">
        <v>90</v>
      </c>
    </row>
    <row r="402" spans="1:22" ht="20">
      <c r="A402" s="46">
        <v>37453</v>
      </c>
      <c r="B402" s="45" t="s">
        <v>911</v>
      </c>
      <c r="C402" s="45" t="s">
        <v>90</v>
      </c>
      <c r="D402" s="47">
        <v>2</v>
      </c>
      <c r="E402" s="47" t="s">
        <v>413</v>
      </c>
      <c r="F402" s="47" t="s">
        <v>433</v>
      </c>
      <c r="G402" s="47">
        <v>4</v>
      </c>
      <c r="H402" s="90" t="s">
        <v>599</v>
      </c>
      <c r="I402" s="48">
        <v>1</v>
      </c>
      <c r="J402" s="47" t="s">
        <v>458</v>
      </c>
      <c r="N402" t="s">
        <v>90</v>
      </c>
      <c r="O402" t="s">
        <v>256</v>
      </c>
      <c r="P402" t="s">
        <v>90</v>
      </c>
      <c r="Q402" t="s">
        <v>90</v>
      </c>
      <c r="R402" t="s">
        <v>90</v>
      </c>
      <c r="S402" t="s">
        <v>90</v>
      </c>
      <c r="T402" t="s">
        <v>90</v>
      </c>
      <c r="U402" t="s">
        <v>90</v>
      </c>
      <c r="V402" t="s">
        <v>90</v>
      </c>
    </row>
    <row r="403" spans="1:22" ht="20">
      <c r="A403" s="46">
        <v>37454</v>
      </c>
      <c r="B403" s="45" t="s">
        <v>912</v>
      </c>
      <c r="C403" s="45" t="s">
        <v>90</v>
      </c>
      <c r="D403" s="47">
        <v>2</v>
      </c>
      <c r="E403" s="47" t="s">
        <v>469</v>
      </c>
      <c r="F403" s="47" t="s">
        <v>433</v>
      </c>
      <c r="G403" s="47">
        <v>3</v>
      </c>
      <c r="H403" s="90" t="s">
        <v>600</v>
      </c>
      <c r="I403" s="48">
        <v>1</v>
      </c>
      <c r="J403" s="47" t="s">
        <v>458</v>
      </c>
      <c r="N403" t="s">
        <v>90</v>
      </c>
      <c r="O403" t="s">
        <v>256</v>
      </c>
      <c r="P403" t="s">
        <v>90</v>
      </c>
      <c r="Q403" t="s">
        <v>90</v>
      </c>
      <c r="R403" t="s">
        <v>90</v>
      </c>
      <c r="S403" t="s">
        <v>90</v>
      </c>
      <c r="T403" t="s">
        <v>90</v>
      </c>
      <c r="U403" t="s">
        <v>90</v>
      </c>
      <c r="V403" t="s">
        <v>90</v>
      </c>
    </row>
    <row r="404" spans="1:22" ht="20">
      <c r="A404" s="46">
        <v>37455</v>
      </c>
      <c r="B404" s="45" t="s">
        <v>913</v>
      </c>
      <c r="C404" s="45" t="s">
        <v>90</v>
      </c>
      <c r="D404" s="47">
        <v>2</v>
      </c>
      <c r="E404" s="47" t="s">
        <v>469</v>
      </c>
      <c r="F404" s="47" t="s">
        <v>420</v>
      </c>
      <c r="G404" s="47">
        <v>4</v>
      </c>
      <c r="H404" s="90" t="s">
        <v>601</v>
      </c>
      <c r="I404" s="48">
        <v>2</v>
      </c>
      <c r="J404" s="47" t="s">
        <v>458</v>
      </c>
      <c r="N404" t="s">
        <v>90</v>
      </c>
      <c r="O404" t="s">
        <v>256</v>
      </c>
      <c r="P404" t="s">
        <v>90</v>
      </c>
      <c r="Q404" t="s">
        <v>90</v>
      </c>
      <c r="R404" t="s">
        <v>90</v>
      </c>
      <c r="S404" t="s">
        <v>90</v>
      </c>
      <c r="T404" t="s">
        <v>90</v>
      </c>
      <c r="U404" t="s">
        <v>90</v>
      </c>
      <c r="V404" t="s">
        <v>90</v>
      </c>
    </row>
    <row r="405" spans="1:22" ht="20">
      <c r="A405" s="46">
        <v>37456</v>
      </c>
      <c r="B405" s="45" t="s">
        <v>622</v>
      </c>
      <c r="C405" s="45"/>
      <c r="D405" s="47">
        <v>2</v>
      </c>
      <c r="E405" s="47" t="s">
        <v>69</v>
      </c>
      <c r="F405" s="47" t="s">
        <v>421</v>
      </c>
      <c r="G405" s="47">
        <v>4</v>
      </c>
      <c r="H405" s="90" t="s">
        <v>602</v>
      </c>
      <c r="I405" s="48">
        <v>1</v>
      </c>
      <c r="J405" s="47" t="s">
        <v>458</v>
      </c>
      <c r="N405" t="s">
        <v>90</v>
      </c>
      <c r="O405" t="s">
        <v>256</v>
      </c>
      <c r="P405" t="s">
        <v>90</v>
      </c>
      <c r="Q405" t="s">
        <v>90</v>
      </c>
      <c r="R405" t="s">
        <v>90</v>
      </c>
      <c r="S405" t="s">
        <v>90</v>
      </c>
      <c r="T405" t="s">
        <v>90</v>
      </c>
      <c r="U405" t="s">
        <v>90</v>
      </c>
      <c r="V405" t="s">
        <v>90</v>
      </c>
    </row>
    <row r="406" spans="1:22" ht="20">
      <c r="A406" s="46">
        <v>37458</v>
      </c>
      <c r="B406" s="45" t="s">
        <v>621</v>
      </c>
      <c r="C406" s="45"/>
      <c r="D406" s="47">
        <v>2</v>
      </c>
      <c r="E406" s="47" t="s">
        <v>461</v>
      </c>
      <c r="F406" s="47" t="s">
        <v>421</v>
      </c>
      <c r="G406" s="47">
        <v>4</v>
      </c>
      <c r="H406" s="90" t="s">
        <v>603</v>
      </c>
      <c r="I406" s="48">
        <v>2</v>
      </c>
      <c r="J406" s="47" t="s">
        <v>458</v>
      </c>
      <c r="N406" t="s">
        <v>90</v>
      </c>
      <c r="O406" t="s">
        <v>256</v>
      </c>
      <c r="P406" t="s">
        <v>90</v>
      </c>
      <c r="Q406" t="s">
        <v>90</v>
      </c>
      <c r="R406" t="s">
        <v>90</v>
      </c>
      <c r="S406" t="s">
        <v>90</v>
      </c>
      <c r="T406" t="s">
        <v>90</v>
      </c>
      <c r="U406" t="s">
        <v>90</v>
      </c>
      <c r="V406" t="s">
        <v>90</v>
      </c>
    </row>
    <row r="407" spans="1:22" ht="20">
      <c r="A407" s="46">
        <v>37460</v>
      </c>
      <c r="B407" s="45" t="s">
        <v>914</v>
      </c>
      <c r="C407" s="45" t="s">
        <v>90</v>
      </c>
      <c r="D407" s="47">
        <v>2</v>
      </c>
      <c r="E407" s="47" t="s">
        <v>47</v>
      </c>
      <c r="F407" s="47" t="s">
        <v>470</v>
      </c>
      <c r="G407" s="47">
        <v>4</v>
      </c>
      <c r="H407" s="90" t="s">
        <v>605</v>
      </c>
      <c r="I407" s="48">
        <v>3</v>
      </c>
      <c r="J407" s="47" t="s">
        <v>458</v>
      </c>
      <c r="N407" t="s">
        <v>90</v>
      </c>
      <c r="O407" t="s">
        <v>256</v>
      </c>
      <c r="P407" t="s">
        <v>90</v>
      </c>
      <c r="Q407" t="s">
        <v>90</v>
      </c>
      <c r="R407" t="s">
        <v>90</v>
      </c>
      <c r="S407" t="s">
        <v>90</v>
      </c>
      <c r="T407" t="s">
        <v>90</v>
      </c>
      <c r="U407" t="s">
        <v>90</v>
      </c>
      <c r="V407" t="s">
        <v>90</v>
      </c>
    </row>
    <row r="408" spans="1:22" ht="20">
      <c r="A408" s="46">
        <v>38063</v>
      </c>
      <c r="B408" s="45" t="s">
        <v>915</v>
      </c>
      <c r="C408" s="45" t="s">
        <v>90</v>
      </c>
      <c r="D408" s="47">
        <v>2</v>
      </c>
      <c r="E408" s="47" t="s">
        <v>47</v>
      </c>
      <c r="F408" s="47" t="s">
        <v>445</v>
      </c>
      <c r="G408" s="47">
        <v>2</v>
      </c>
      <c r="H408" s="90" t="s">
        <v>608</v>
      </c>
      <c r="I408" s="48">
        <v>4</v>
      </c>
      <c r="J408" s="56" t="s">
        <v>460</v>
      </c>
      <c r="N408" t="s">
        <v>90</v>
      </c>
      <c r="O408" t="s">
        <v>256</v>
      </c>
      <c r="P408" t="s">
        <v>90</v>
      </c>
      <c r="Q408" t="s">
        <v>90</v>
      </c>
      <c r="R408" t="s">
        <v>90</v>
      </c>
      <c r="S408" t="s">
        <v>90</v>
      </c>
      <c r="T408" t="s">
        <v>90</v>
      </c>
      <c r="U408" t="s">
        <v>90</v>
      </c>
      <c r="V408" t="s">
        <v>90</v>
      </c>
    </row>
    <row r="409" spans="1:22" ht="20">
      <c r="A409" s="46">
        <v>37462</v>
      </c>
      <c r="B409" s="45" t="s">
        <v>916</v>
      </c>
      <c r="C409" s="45" t="s">
        <v>90</v>
      </c>
      <c r="D409" s="47">
        <v>2</v>
      </c>
      <c r="E409" s="47" t="s">
        <v>413</v>
      </c>
      <c r="F409" s="47" t="s">
        <v>418</v>
      </c>
      <c r="G409" s="47">
        <v>5</v>
      </c>
      <c r="H409" s="90" t="s">
        <v>609</v>
      </c>
      <c r="I409" s="48" t="s">
        <v>500</v>
      </c>
      <c r="J409" s="47" t="s">
        <v>458</v>
      </c>
      <c r="N409" t="s">
        <v>90</v>
      </c>
      <c r="O409" t="s">
        <v>256</v>
      </c>
      <c r="P409" t="s">
        <v>90</v>
      </c>
      <c r="Q409" t="s">
        <v>90</v>
      </c>
      <c r="R409" t="s">
        <v>90</v>
      </c>
      <c r="S409" t="s">
        <v>90</v>
      </c>
      <c r="T409" t="s">
        <v>90</v>
      </c>
      <c r="U409" t="s">
        <v>90</v>
      </c>
      <c r="V409" t="s">
        <v>90</v>
      </c>
    </row>
    <row r="410" spans="1:22" ht="20">
      <c r="A410" s="46">
        <v>37463</v>
      </c>
      <c r="B410" s="45" t="s">
        <v>917</v>
      </c>
      <c r="C410" s="45" t="s">
        <v>90</v>
      </c>
      <c r="D410" s="47">
        <v>2</v>
      </c>
      <c r="E410" s="47" t="s">
        <v>69</v>
      </c>
      <c r="F410" s="47" t="s">
        <v>180</v>
      </c>
      <c r="G410" s="47" t="s">
        <v>180</v>
      </c>
      <c r="H410" s="90" t="s">
        <v>611</v>
      </c>
      <c r="I410" s="48" t="s">
        <v>515</v>
      </c>
      <c r="J410" s="56" t="s">
        <v>460</v>
      </c>
      <c r="N410" t="s">
        <v>90</v>
      </c>
      <c r="O410" t="s">
        <v>256</v>
      </c>
      <c r="P410" t="s">
        <v>90</v>
      </c>
      <c r="Q410" t="s">
        <v>90</v>
      </c>
      <c r="R410" t="s">
        <v>90</v>
      </c>
      <c r="S410" t="s">
        <v>90</v>
      </c>
      <c r="T410" t="s">
        <v>90</v>
      </c>
      <c r="U410" t="s">
        <v>90</v>
      </c>
      <c r="V410" t="s">
        <v>90</v>
      </c>
    </row>
    <row r="411" spans="1:22" ht="20">
      <c r="A411" s="54">
        <v>37464</v>
      </c>
      <c r="B411" s="55" t="s">
        <v>918</v>
      </c>
      <c r="C411" s="55"/>
      <c r="D411" s="56">
        <v>2</v>
      </c>
      <c r="E411" s="56" t="s">
        <v>424</v>
      </c>
      <c r="F411" s="56" t="s">
        <v>433</v>
      </c>
      <c r="G411" s="56">
        <v>5</v>
      </c>
      <c r="H411" s="90" t="s">
        <v>612</v>
      </c>
      <c r="I411" s="65">
        <v>1</v>
      </c>
      <c r="J411" s="56" t="s">
        <v>460</v>
      </c>
      <c r="N411" t="s">
        <v>90</v>
      </c>
      <c r="O411" t="s">
        <v>256</v>
      </c>
      <c r="P411" t="s">
        <v>90</v>
      </c>
      <c r="Q411" t="s">
        <v>90</v>
      </c>
      <c r="R411" t="s">
        <v>90</v>
      </c>
      <c r="S411" t="s">
        <v>90</v>
      </c>
      <c r="T411" t="s">
        <v>90</v>
      </c>
      <c r="U411" t="s">
        <v>90</v>
      </c>
      <c r="V411" t="s">
        <v>90</v>
      </c>
    </row>
    <row r="412" spans="1:22" ht="20">
      <c r="A412" s="46">
        <v>37465</v>
      </c>
      <c r="B412" s="45" t="s">
        <v>919</v>
      </c>
      <c r="C412" s="45" t="s">
        <v>90</v>
      </c>
      <c r="D412" s="47">
        <v>2</v>
      </c>
      <c r="E412" s="47" t="s">
        <v>469</v>
      </c>
      <c r="F412" s="47" t="s">
        <v>476</v>
      </c>
      <c r="G412" s="47">
        <v>3</v>
      </c>
      <c r="H412" s="90" t="s">
        <v>613</v>
      </c>
      <c r="I412" s="48" t="s">
        <v>500</v>
      </c>
      <c r="J412" s="47" t="s">
        <v>458</v>
      </c>
      <c r="N412" t="s">
        <v>90</v>
      </c>
      <c r="O412" t="s">
        <v>256</v>
      </c>
      <c r="P412" t="s">
        <v>90</v>
      </c>
      <c r="Q412" t="s">
        <v>90</v>
      </c>
      <c r="R412" t="s">
        <v>90</v>
      </c>
      <c r="S412" t="s">
        <v>90</v>
      </c>
      <c r="T412" t="s">
        <v>90</v>
      </c>
      <c r="U412" t="s">
        <v>90</v>
      </c>
      <c r="V412" t="s">
        <v>90</v>
      </c>
    </row>
    <row r="413" spans="1:22" ht="20">
      <c r="A413" s="46">
        <v>37466</v>
      </c>
      <c r="B413" s="45" t="s">
        <v>920</v>
      </c>
      <c r="C413" s="45" t="s">
        <v>90</v>
      </c>
      <c r="D413" s="47">
        <v>2</v>
      </c>
      <c r="E413" s="47" t="s">
        <v>461</v>
      </c>
      <c r="F413" s="47" t="s">
        <v>471</v>
      </c>
      <c r="G413" s="47"/>
      <c r="H413" s="90" t="s">
        <v>614</v>
      </c>
      <c r="I413" s="48" t="s">
        <v>500</v>
      </c>
      <c r="J413" s="47" t="s">
        <v>458</v>
      </c>
      <c r="N413" t="s">
        <v>90</v>
      </c>
      <c r="O413" t="s">
        <v>256</v>
      </c>
      <c r="P413" t="s">
        <v>90</v>
      </c>
      <c r="Q413" t="s">
        <v>90</v>
      </c>
      <c r="R413" t="s">
        <v>90</v>
      </c>
      <c r="S413" t="s">
        <v>90</v>
      </c>
      <c r="T413" t="s">
        <v>90</v>
      </c>
      <c r="U413" t="s">
        <v>90</v>
      </c>
      <c r="V413" t="s">
        <v>90</v>
      </c>
    </row>
    <row r="414" spans="1:22" ht="20">
      <c r="A414" s="46">
        <v>37467</v>
      </c>
      <c r="B414" s="45" t="s">
        <v>921</v>
      </c>
      <c r="C414" s="45" t="s">
        <v>90</v>
      </c>
      <c r="D414" s="47">
        <v>2</v>
      </c>
      <c r="E414" s="47" t="s">
        <v>47</v>
      </c>
      <c r="F414" s="47" t="s">
        <v>421</v>
      </c>
      <c r="G414" s="47">
        <v>4</v>
      </c>
      <c r="H414" s="90" t="s">
        <v>615</v>
      </c>
      <c r="I414" s="48">
        <v>1</v>
      </c>
      <c r="J414" s="47" t="s">
        <v>458</v>
      </c>
      <c r="N414" t="s">
        <v>90</v>
      </c>
      <c r="O414" t="s">
        <v>256</v>
      </c>
      <c r="P414" t="s">
        <v>90</v>
      </c>
      <c r="Q414" t="s">
        <v>90</v>
      </c>
      <c r="R414" t="s">
        <v>90</v>
      </c>
      <c r="S414" t="s">
        <v>90</v>
      </c>
      <c r="T414" t="s">
        <v>90</v>
      </c>
      <c r="U414" t="s">
        <v>90</v>
      </c>
      <c r="V414" t="s">
        <v>90</v>
      </c>
    </row>
    <row r="415" spans="1:22" ht="20">
      <c r="A415" s="46">
        <v>37468</v>
      </c>
      <c r="B415" s="45" t="s">
        <v>922</v>
      </c>
      <c r="C415" s="45" t="s">
        <v>90</v>
      </c>
      <c r="D415" s="47">
        <v>2</v>
      </c>
      <c r="E415" s="47" t="s">
        <v>461</v>
      </c>
      <c r="F415" s="47" t="s">
        <v>445</v>
      </c>
      <c r="G415" s="47">
        <v>5</v>
      </c>
      <c r="H415" s="90" t="s">
        <v>616</v>
      </c>
      <c r="I415" s="48" t="s">
        <v>500</v>
      </c>
      <c r="J415" s="47" t="s">
        <v>458</v>
      </c>
      <c r="N415" t="s">
        <v>90</v>
      </c>
      <c r="O415" t="s">
        <v>256</v>
      </c>
      <c r="P415" t="s">
        <v>90</v>
      </c>
      <c r="Q415" t="s">
        <v>90</v>
      </c>
      <c r="R415" t="s">
        <v>90</v>
      </c>
      <c r="S415" t="s">
        <v>90</v>
      </c>
      <c r="T415" t="s">
        <v>90</v>
      </c>
      <c r="U415" t="s">
        <v>90</v>
      </c>
      <c r="V415" t="s">
        <v>90</v>
      </c>
    </row>
    <row r="416" spans="1:22" ht="20">
      <c r="A416" s="46">
        <v>37469</v>
      </c>
      <c r="B416" s="45" t="s">
        <v>923</v>
      </c>
      <c r="C416" s="45" t="s">
        <v>90</v>
      </c>
      <c r="D416" s="47">
        <v>2</v>
      </c>
      <c r="E416" s="47" t="s">
        <v>462</v>
      </c>
      <c r="F416" s="47" t="s">
        <v>474</v>
      </c>
      <c r="G416" s="47"/>
      <c r="H416" s="90" t="s">
        <v>617</v>
      </c>
      <c r="I416" s="48" t="s">
        <v>500</v>
      </c>
      <c r="J416" s="47" t="s">
        <v>460</v>
      </c>
      <c r="N416" t="s">
        <v>90</v>
      </c>
      <c r="O416" t="s">
        <v>256</v>
      </c>
      <c r="P416" t="s">
        <v>90</v>
      </c>
      <c r="Q416" t="s">
        <v>90</v>
      </c>
      <c r="R416" t="s">
        <v>90</v>
      </c>
      <c r="S416" t="s">
        <v>90</v>
      </c>
      <c r="T416" t="s">
        <v>90</v>
      </c>
      <c r="U416" t="s">
        <v>90</v>
      </c>
      <c r="V416" t="s">
        <v>90</v>
      </c>
    </row>
    <row r="417" spans="1:22" ht="20">
      <c r="A417" s="46">
        <v>37470</v>
      </c>
      <c r="B417" s="45" t="s">
        <v>924</v>
      </c>
      <c r="C417" s="45" t="s">
        <v>90</v>
      </c>
      <c r="D417" s="47">
        <v>2</v>
      </c>
      <c r="E417" s="47" t="s">
        <v>492</v>
      </c>
      <c r="F417" s="47" t="s">
        <v>519</v>
      </c>
      <c r="G417" s="47"/>
      <c r="H417" s="90" t="s">
        <v>618</v>
      </c>
      <c r="I417" s="48" t="s">
        <v>500</v>
      </c>
      <c r="J417" s="47" t="s">
        <v>460</v>
      </c>
      <c r="N417" t="s">
        <v>90</v>
      </c>
      <c r="O417" t="s">
        <v>256</v>
      </c>
      <c r="P417" t="s">
        <v>90</v>
      </c>
      <c r="Q417" t="s">
        <v>90</v>
      </c>
      <c r="R417" t="s">
        <v>90</v>
      </c>
      <c r="S417" t="s">
        <v>90</v>
      </c>
      <c r="T417" t="s">
        <v>90</v>
      </c>
      <c r="U417" t="s">
        <v>90</v>
      </c>
      <c r="V417" t="s">
        <v>90</v>
      </c>
    </row>
    <row r="418" spans="1:22" ht="20">
      <c r="A418" s="46">
        <v>37471</v>
      </c>
      <c r="B418" s="45" t="s">
        <v>925</v>
      </c>
      <c r="C418" s="45" t="s">
        <v>90</v>
      </c>
      <c r="D418" s="47">
        <v>2</v>
      </c>
      <c r="E418" s="47" t="s">
        <v>473</v>
      </c>
      <c r="F418" s="47" t="s">
        <v>473</v>
      </c>
      <c r="G418" s="47" t="s">
        <v>473</v>
      </c>
      <c r="H418" s="90" t="s">
        <v>619</v>
      </c>
      <c r="I418" s="48" t="s">
        <v>500</v>
      </c>
      <c r="J418" s="47" t="s">
        <v>460</v>
      </c>
      <c r="N418" t="s">
        <v>90</v>
      </c>
      <c r="O418" t="s">
        <v>256</v>
      </c>
      <c r="P418" t="s">
        <v>90</v>
      </c>
      <c r="Q418" t="s">
        <v>90</v>
      </c>
      <c r="R418" t="s">
        <v>90</v>
      </c>
      <c r="S418" t="s">
        <v>90</v>
      </c>
      <c r="T418" t="s">
        <v>90</v>
      </c>
      <c r="U418" t="s">
        <v>90</v>
      </c>
      <c r="V418" t="s">
        <v>90</v>
      </c>
    </row>
    <row r="419" spans="1:22" ht="20">
      <c r="A419" s="46">
        <v>37472</v>
      </c>
      <c r="B419" s="45" t="s">
        <v>926</v>
      </c>
      <c r="C419" s="45" t="s">
        <v>90</v>
      </c>
      <c r="D419" s="47">
        <v>2</v>
      </c>
      <c r="E419" s="47" t="s">
        <v>467</v>
      </c>
      <c r="F419" s="47" t="s">
        <v>463</v>
      </c>
      <c r="G419" s="47">
        <v>3</v>
      </c>
      <c r="H419" s="90" t="s">
        <v>609</v>
      </c>
      <c r="I419" s="48" t="s">
        <v>500</v>
      </c>
      <c r="J419" s="47" t="s">
        <v>458</v>
      </c>
      <c r="N419" t="s">
        <v>90</v>
      </c>
      <c r="O419" t="s">
        <v>256</v>
      </c>
      <c r="P419" t="s">
        <v>90</v>
      </c>
      <c r="Q419" t="s">
        <v>90</v>
      </c>
      <c r="R419" t="s">
        <v>90</v>
      </c>
      <c r="S419" t="s">
        <v>90</v>
      </c>
      <c r="T419" t="s">
        <v>90</v>
      </c>
      <c r="U419" t="s">
        <v>90</v>
      </c>
      <c r="V419" t="s">
        <v>90</v>
      </c>
    </row>
    <row r="420" spans="1:22" ht="20">
      <c r="A420" s="46">
        <v>37473</v>
      </c>
      <c r="B420" s="45" t="s">
        <v>927</v>
      </c>
      <c r="C420" s="45" t="s">
        <v>90</v>
      </c>
      <c r="D420" s="47">
        <v>2</v>
      </c>
      <c r="E420" s="47" t="s">
        <v>47</v>
      </c>
      <c r="F420" s="47" t="s">
        <v>520</v>
      </c>
      <c r="G420" s="47">
        <v>4</v>
      </c>
      <c r="H420" s="90" t="s">
        <v>572</v>
      </c>
      <c r="I420" s="48">
        <v>1</v>
      </c>
      <c r="J420" s="47" t="s">
        <v>458</v>
      </c>
      <c r="N420" t="s">
        <v>90</v>
      </c>
      <c r="O420" t="s">
        <v>256</v>
      </c>
      <c r="P420" t="s">
        <v>90</v>
      </c>
      <c r="Q420" t="s">
        <v>90</v>
      </c>
      <c r="R420" t="s">
        <v>90</v>
      </c>
      <c r="S420" t="s">
        <v>90</v>
      </c>
      <c r="T420" t="s">
        <v>90</v>
      </c>
      <c r="U420" t="s">
        <v>90</v>
      </c>
      <c r="V420" t="s">
        <v>90</v>
      </c>
    </row>
    <row r="421" spans="1:22" ht="20">
      <c r="A421" s="46">
        <v>37474</v>
      </c>
      <c r="B421" s="45" t="s">
        <v>928</v>
      </c>
      <c r="C421" s="45" t="s">
        <v>90</v>
      </c>
      <c r="D421" s="47">
        <v>2</v>
      </c>
      <c r="E421" s="47" t="s">
        <v>492</v>
      </c>
      <c r="F421" s="47" t="s">
        <v>519</v>
      </c>
      <c r="G421" s="47"/>
      <c r="H421" s="90" t="s">
        <v>573</v>
      </c>
      <c r="I421" s="48" t="s">
        <v>500</v>
      </c>
      <c r="J421" s="47" t="s">
        <v>458</v>
      </c>
      <c r="N421" t="s">
        <v>90</v>
      </c>
      <c r="O421" t="s">
        <v>256</v>
      </c>
      <c r="P421" t="s">
        <v>90</v>
      </c>
      <c r="Q421" t="s">
        <v>90</v>
      </c>
      <c r="R421" t="s">
        <v>90</v>
      </c>
      <c r="S421" t="s">
        <v>90</v>
      </c>
      <c r="T421" t="s">
        <v>90</v>
      </c>
      <c r="U421" t="s">
        <v>90</v>
      </c>
      <c r="V421" t="s">
        <v>90</v>
      </c>
    </row>
    <row r="422" spans="1:22" ht="20">
      <c r="A422" s="46">
        <v>37475</v>
      </c>
      <c r="B422" s="45" t="s">
        <v>929</v>
      </c>
      <c r="C422" s="45" t="s">
        <v>90</v>
      </c>
      <c r="D422" s="47">
        <v>2</v>
      </c>
      <c r="E422" s="47" t="s">
        <v>464</v>
      </c>
      <c r="F422" s="47" t="s">
        <v>464</v>
      </c>
      <c r="G422" s="47" t="s">
        <v>464</v>
      </c>
      <c r="H422" s="90" t="s">
        <v>574</v>
      </c>
      <c r="I422" s="48" t="s">
        <v>500</v>
      </c>
      <c r="J422" s="47" t="s">
        <v>460</v>
      </c>
      <c r="N422" t="s">
        <v>90</v>
      </c>
      <c r="O422" t="s">
        <v>256</v>
      </c>
      <c r="P422" t="s">
        <v>90</v>
      </c>
      <c r="Q422" t="s">
        <v>90</v>
      </c>
      <c r="R422" t="s">
        <v>90</v>
      </c>
      <c r="S422" t="s">
        <v>90</v>
      </c>
      <c r="T422" t="s">
        <v>90</v>
      </c>
      <c r="U422" t="s">
        <v>90</v>
      </c>
      <c r="V422" t="s">
        <v>90</v>
      </c>
    </row>
    <row r="423" spans="1:22" ht="20">
      <c r="A423" s="46">
        <v>37476</v>
      </c>
      <c r="B423" s="45" t="s">
        <v>930</v>
      </c>
      <c r="C423" s="45" t="s">
        <v>90</v>
      </c>
      <c r="D423" s="47">
        <v>2</v>
      </c>
      <c r="E423" s="47" t="s">
        <v>413</v>
      </c>
      <c r="F423" s="47" t="s">
        <v>421</v>
      </c>
      <c r="G423" s="47">
        <v>2</v>
      </c>
      <c r="H423" s="90" t="s">
        <v>575</v>
      </c>
      <c r="I423" s="48">
        <v>2</v>
      </c>
      <c r="J423" s="47" t="s">
        <v>458</v>
      </c>
      <c r="N423" t="s">
        <v>90</v>
      </c>
      <c r="O423" t="s">
        <v>256</v>
      </c>
      <c r="P423" t="s">
        <v>90</v>
      </c>
      <c r="Q423" t="s">
        <v>90</v>
      </c>
      <c r="R423" t="s">
        <v>90</v>
      </c>
      <c r="S423" t="s">
        <v>90</v>
      </c>
      <c r="T423" t="s">
        <v>90</v>
      </c>
      <c r="U423" t="s">
        <v>90</v>
      </c>
      <c r="V423" t="s">
        <v>90</v>
      </c>
    </row>
    <row r="424" spans="1:22" ht="20">
      <c r="A424" s="46">
        <v>37477</v>
      </c>
      <c r="B424" s="45" t="s">
        <v>931</v>
      </c>
      <c r="C424" s="45" t="s">
        <v>90</v>
      </c>
      <c r="D424" s="47">
        <v>2</v>
      </c>
      <c r="E424" s="47" t="s">
        <v>483</v>
      </c>
      <c r="F424" s="47" t="s">
        <v>433</v>
      </c>
      <c r="G424" s="47">
        <v>4</v>
      </c>
      <c r="H424" s="90" t="s">
        <v>576</v>
      </c>
      <c r="I424" s="48" t="s">
        <v>500</v>
      </c>
      <c r="J424" s="47" t="s">
        <v>458</v>
      </c>
      <c r="N424" t="s">
        <v>90</v>
      </c>
      <c r="O424" t="s">
        <v>256</v>
      </c>
      <c r="P424" t="s">
        <v>90</v>
      </c>
      <c r="Q424" t="s">
        <v>90</v>
      </c>
      <c r="R424" t="s">
        <v>90</v>
      </c>
      <c r="S424" t="s">
        <v>90</v>
      </c>
      <c r="T424" t="s">
        <v>90</v>
      </c>
      <c r="U424" t="s">
        <v>90</v>
      </c>
      <c r="V424" t="s">
        <v>90</v>
      </c>
    </row>
    <row r="425" spans="1:22" ht="20">
      <c r="A425" s="46">
        <v>37478</v>
      </c>
      <c r="B425" s="45" t="s">
        <v>932</v>
      </c>
      <c r="C425" s="45" t="s">
        <v>90</v>
      </c>
      <c r="D425" s="47">
        <v>2</v>
      </c>
      <c r="E425" s="47" t="s">
        <v>413</v>
      </c>
      <c r="F425" s="47" t="s">
        <v>433</v>
      </c>
      <c r="G425" s="47">
        <v>4</v>
      </c>
      <c r="H425" s="90" t="s">
        <v>577</v>
      </c>
      <c r="I425" s="48" t="s">
        <v>500</v>
      </c>
      <c r="J425" s="47" t="s">
        <v>458</v>
      </c>
      <c r="N425" t="s">
        <v>90</v>
      </c>
      <c r="O425" t="s">
        <v>256</v>
      </c>
      <c r="P425" t="s">
        <v>90</v>
      </c>
      <c r="Q425" t="s">
        <v>90</v>
      </c>
      <c r="R425" t="s">
        <v>90</v>
      </c>
      <c r="S425" t="s">
        <v>90</v>
      </c>
      <c r="T425" t="s">
        <v>90</v>
      </c>
      <c r="U425" t="s">
        <v>90</v>
      </c>
      <c r="V425" t="s">
        <v>90</v>
      </c>
    </row>
    <row r="426" spans="1:22" ht="20">
      <c r="A426" s="46">
        <v>37479</v>
      </c>
      <c r="B426" s="45" t="s">
        <v>933</v>
      </c>
      <c r="C426" s="45"/>
      <c r="D426" s="47">
        <v>2</v>
      </c>
      <c r="E426" s="47" t="s">
        <v>413</v>
      </c>
      <c r="F426" s="47" t="s">
        <v>470</v>
      </c>
      <c r="G426" s="47">
        <v>4</v>
      </c>
      <c r="H426" s="90" t="s">
        <v>578</v>
      </c>
      <c r="I426" s="48">
        <v>2</v>
      </c>
      <c r="J426" s="47" t="s">
        <v>458</v>
      </c>
      <c r="N426" t="s">
        <v>90</v>
      </c>
      <c r="O426" t="s">
        <v>256</v>
      </c>
      <c r="P426" t="s">
        <v>90</v>
      </c>
      <c r="Q426" t="s">
        <v>90</v>
      </c>
      <c r="R426" t="s">
        <v>90</v>
      </c>
      <c r="S426" t="s">
        <v>90</v>
      </c>
      <c r="T426" t="s">
        <v>90</v>
      </c>
      <c r="U426" t="s">
        <v>90</v>
      </c>
      <c r="V426" t="s">
        <v>90</v>
      </c>
    </row>
    <row r="427" spans="1:22" ht="20">
      <c r="A427" s="54">
        <v>37480</v>
      </c>
      <c r="B427" s="55" t="s">
        <v>934</v>
      </c>
      <c r="C427" s="55"/>
      <c r="D427" s="56">
        <v>2</v>
      </c>
      <c r="E427" s="56" t="s">
        <v>462</v>
      </c>
      <c r="F427" s="56" t="s">
        <v>466</v>
      </c>
      <c r="G427" s="56">
        <v>4</v>
      </c>
      <c r="H427" s="90" t="s">
        <v>579</v>
      </c>
      <c r="I427" s="65" t="s">
        <v>515</v>
      </c>
      <c r="J427" s="56" t="s">
        <v>458</v>
      </c>
      <c r="N427" t="s">
        <v>90</v>
      </c>
      <c r="O427" t="s">
        <v>256</v>
      </c>
      <c r="P427" t="s">
        <v>90</v>
      </c>
      <c r="Q427" t="s">
        <v>90</v>
      </c>
      <c r="R427" t="s">
        <v>90</v>
      </c>
      <c r="S427" t="s">
        <v>90</v>
      </c>
      <c r="T427" t="s">
        <v>90</v>
      </c>
      <c r="U427" t="s">
        <v>90</v>
      </c>
      <c r="V427" t="s">
        <v>90</v>
      </c>
    </row>
    <row r="428" spans="1:22" ht="20">
      <c r="A428" s="46">
        <v>37481</v>
      </c>
      <c r="B428" s="55" t="s">
        <v>935</v>
      </c>
      <c r="C428" s="55"/>
      <c r="D428" s="56">
        <v>2</v>
      </c>
      <c r="E428" s="56" t="s">
        <v>461</v>
      </c>
      <c r="F428" s="56" t="s">
        <v>470</v>
      </c>
      <c r="G428" s="56">
        <v>4</v>
      </c>
      <c r="H428" s="90" t="s">
        <v>580</v>
      </c>
      <c r="I428" s="65" t="s">
        <v>500</v>
      </c>
      <c r="J428" s="56" t="s">
        <v>460</v>
      </c>
      <c r="N428" t="s">
        <v>90</v>
      </c>
      <c r="O428" t="s">
        <v>256</v>
      </c>
      <c r="P428" t="s">
        <v>90</v>
      </c>
      <c r="Q428" t="s">
        <v>90</v>
      </c>
      <c r="R428" t="s">
        <v>90</v>
      </c>
      <c r="S428" t="s">
        <v>90</v>
      </c>
      <c r="T428" t="s">
        <v>90</v>
      </c>
      <c r="U428" t="s">
        <v>90</v>
      </c>
      <c r="V428" t="s">
        <v>90</v>
      </c>
    </row>
    <row r="429" spans="1:22" ht="20">
      <c r="A429" s="54">
        <v>37482</v>
      </c>
      <c r="B429" s="55" t="s">
        <v>936</v>
      </c>
      <c r="C429" s="55"/>
      <c r="D429" s="56">
        <v>2</v>
      </c>
      <c r="E429" s="56" t="s">
        <v>461</v>
      </c>
      <c r="F429" s="56" t="s">
        <v>470</v>
      </c>
      <c r="G429" s="56">
        <v>4</v>
      </c>
      <c r="H429" s="90" t="s">
        <v>581</v>
      </c>
      <c r="I429" s="65" t="s">
        <v>500</v>
      </c>
      <c r="J429" s="56" t="s">
        <v>460</v>
      </c>
      <c r="N429" t="s">
        <v>90</v>
      </c>
      <c r="O429" t="s">
        <v>256</v>
      </c>
      <c r="P429" t="s">
        <v>90</v>
      </c>
      <c r="Q429" t="s">
        <v>90</v>
      </c>
      <c r="R429" t="s">
        <v>90</v>
      </c>
      <c r="S429" t="s">
        <v>90</v>
      </c>
      <c r="T429" t="s">
        <v>90</v>
      </c>
      <c r="U429" t="s">
        <v>90</v>
      </c>
      <c r="V429" t="s">
        <v>90</v>
      </c>
    </row>
    <row r="430" spans="1:22" ht="20">
      <c r="A430" s="46">
        <v>37483</v>
      </c>
      <c r="B430" s="45" t="s">
        <v>937</v>
      </c>
      <c r="C430" s="45"/>
      <c r="D430" s="47">
        <v>2</v>
      </c>
      <c r="E430" s="47" t="s">
        <v>469</v>
      </c>
      <c r="F430" s="47" t="s">
        <v>470</v>
      </c>
      <c r="G430" s="47">
        <v>3</v>
      </c>
      <c r="H430" s="90" t="s">
        <v>582</v>
      </c>
      <c r="I430" s="48">
        <v>1</v>
      </c>
      <c r="J430" s="47" t="s">
        <v>458</v>
      </c>
      <c r="N430" t="s">
        <v>90</v>
      </c>
      <c r="O430" t="s">
        <v>256</v>
      </c>
      <c r="P430" t="s">
        <v>90</v>
      </c>
      <c r="Q430" t="s">
        <v>90</v>
      </c>
      <c r="R430" t="s">
        <v>90</v>
      </c>
      <c r="S430" t="s">
        <v>90</v>
      </c>
      <c r="T430" t="s">
        <v>90</v>
      </c>
      <c r="U430" t="s">
        <v>90</v>
      </c>
      <c r="V430" t="s">
        <v>90</v>
      </c>
    </row>
    <row r="431" spans="1:22" ht="20">
      <c r="A431" s="54">
        <v>37484</v>
      </c>
      <c r="B431" s="55" t="s">
        <v>938</v>
      </c>
      <c r="C431" s="55"/>
      <c r="D431" s="56">
        <v>2</v>
      </c>
      <c r="E431" s="56" t="s">
        <v>521</v>
      </c>
      <c r="F431" s="56" t="s">
        <v>463</v>
      </c>
      <c r="G431" s="56">
        <v>2</v>
      </c>
      <c r="H431" s="90" t="s">
        <v>583</v>
      </c>
      <c r="I431" s="65" t="s">
        <v>500</v>
      </c>
      <c r="J431" s="56" t="s">
        <v>458</v>
      </c>
      <c r="N431" t="s">
        <v>90</v>
      </c>
      <c r="O431" t="s">
        <v>256</v>
      </c>
      <c r="P431" t="s">
        <v>90</v>
      </c>
      <c r="Q431" t="s">
        <v>90</v>
      </c>
      <c r="R431" t="s">
        <v>90</v>
      </c>
      <c r="S431" t="s">
        <v>90</v>
      </c>
      <c r="T431" t="s">
        <v>90</v>
      </c>
      <c r="U431" t="s">
        <v>90</v>
      </c>
      <c r="V431" t="s">
        <v>90</v>
      </c>
    </row>
    <row r="432" spans="1:22" ht="20">
      <c r="A432" s="54">
        <v>37485</v>
      </c>
      <c r="B432" s="55" t="s">
        <v>939</v>
      </c>
      <c r="C432" s="55"/>
      <c r="D432" s="56">
        <v>2</v>
      </c>
      <c r="E432" s="56" t="s">
        <v>467</v>
      </c>
      <c r="F432" s="56" t="s">
        <v>472</v>
      </c>
      <c r="G432" s="56">
        <v>3</v>
      </c>
      <c r="H432" s="90" t="s">
        <v>584</v>
      </c>
      <c r="I432" s="65">
        <v>4</v>
      </c>
      <c r="J432" s="47" t="s">
        <v>458</v>
      </c>
      <c r="N432" t="s">
        <v>90</v>
      </c>
      <c r="O432" t="s">
        <v>256</v>
      </c>
      <c r="P432" t="s">
        <v>90</v>
      </c>
      <c r="Q432" t="s">
        <v>90</v>
      </c>
      <c r="R432" t="s">
        <v>90</v>
      </c>
      <c r="S432" t="s">
        <v>90</v>
      </c>
      <c r="T432" t="s">
        <v>90</v>
      </c>
      <c r="U432" t="s">
        <v>90</v>
      </c>
      <c r="V432" t="s">
        <v>90</v>
      </c>
    </row>
    <row r="433" spans="1:22" ht="20">
      <c r="A433" s="46">
        <v>37486</v>
      </c>
      <c r="B433" s="45" t="s">
        <v>940</v>
      </c>
      <c r="C433" s="45"/>
      <c r="D433" s="47">
        <v>2</v>
      </c>
      <c r="E433" s="47" t="s">
        <v>467</v>
      </c>
      <c r="F433" s="47" t="s">
        <v>472</v>
      </c>
      <c r="G433" s="47">
        <v>3</v>
      </c>
      <c r="H433" s="90" t="s">
        <v>585</v>
      </c>
      <c r="I433" s="48" t="s">
        <v>500</v>
      </c>
      <c r="J433" s="47" t="s">
        <v>202</v>
      </c>
      <c r="N433" t="s">
        <v>90</v>
      </c>
      <c r="O433" t="s">
        <v>256</v>
      </c>
      <c r="P433" t="s">
        <v>90</v>
      </c>
      <c r="Q433" t="s">
        <v>90</v>
      </c>
      <c r="R433" t="s">
        <v>90</v>
      </c>
      <c r="S433" t="s">
        <v>90</v>
      </c>
      <c r="T433" t="s">
        <v>90</v>
      </c>
      <c r="U433" t="s">
        <v>90</v>
      </c>
      <c r="V433" t="s">
        <v>90</v>
      </c>
    </row>
    <row r="434" spans="1:22" ht="20">
      <c r="A434" s="46">
        <v>37487</v>
      </c>
      <c r="B434" s="45" t="s">
        <v>522</v>
      </c>
      <c r="C434" s="45"/>
      <c r="D434" s="47">
        <v>2</v>
      </c>
      <c r="E434" s="47" t="s">
        <v>503</v>
      </c>
      <c r="F434" s="47" t="s">
        <v>468</v>
      </c>
      <c r="G434" s="47">
        <v>5</v>
      </c>
      <c r="H434" s="90" t="s">
        <v>586</v>
      </c>
      <c r="I434" s="48" t="s">
        <v>502</v>
      </c>
      <c r="J434" s="47" t="s">
        <v>458</v>
      </c>
      <c r="N434" t="s">
        <v>90</v>
      </c>
      <c r="O434" t="s">
        <v>256</v>
      </c>
      <c r="P434" t="s">
        <v>90</v>
      </c>
      <c r="Q434" t="s">
        <v>90</v>
      </c>
      <c r="R434" t="s">
        <v>90</v>
      </c>
      <c r="S434" t="s">
        <v>90</v>
      </c>
      <c r="T434" t="s">
        <v>90</v>
      </c>
      <c r="U434" t="s">
        <v>90</v>
      </c>
      <c r="V434" t="s">
        <v>90</v>
      </c>
    </row>
    <row r="435" spans="1:22" ht="20">
      <c r="A435" s="46">
        <v>37488</v>
      </c>
      <c r="B435" s="45" t="s">
        <v>523</v>
      </c>
      <c r="C435" s="45"/>
      <c r="D435" s="47">
        <v>2</v>
      </c>
      <c r="E435" s="47" t="s">
        <v>424</v>
      </c>
      <c r="F435" s="47" t="s">
        <v>468</v>
      </c>
      <c r="G435" s="47">
        <v>5</v>
      </c>
      <c r="H435" s="90" t="s">
        <v>587</v>
      </c>
      <c r="I435" s="48" t="s">
        <v>502</v>
      </c>
      <c r="J435" s="47" t="s">
        <v>458</v>
      </c>
      <c r="N435" t="s">
        <v>90</v>
      </c>
      <c r="O435" t="s">
        <v>256</v>
      </c>
      <c r="P435" t="s">
        <v>90</v>
      </c>
      <c r="Q435" t="s">
        <v>90</v>
      </c>
      <c r="R435" t="s">
        <v>90</v>
      </c>
      <c r="S435" t="s">
        <v>90</v>
      </c>
      <c r="T435" t="s">
        <v>90</v>
      </c>
      <c r="U435" t="s">
        <v>90</v>
      </c>
      <c r="V435" t="s">
        <v>90</v>
      </c>
    </row>
    <row r="436" spans="1:22" ht="20">
      <c r="A436" s="46">
        <v>37489</v>
      </c>
      <c r="B436" s="45" t="s">
        <v>524</v>
      </c>
      <c r="C436" s="45"/>
      <c r="D436" s="47">
        <v>2</v>
      </c>
      <c r="E436" s="47" t="s">
        <v>469</v>
      </c>
      <c r="F436" s="47" t="s">
        <v>445</v>
      </c>
      <c r="G436" s="47">
        <v>3</v>
      </c>
      <c r="H436" s="90" t="s">
        <v>588</v>
      </c>
      <c r="I436" s="48" t="s">
        <v>502</v>
      </c>
      <c r="J436" s="47" t="s">
        <v>458</v>
      </c>
      <c r="N436" t="s">
        <v>90</v>
      </c>
      <c r="O436" t="s">
        <v>256</v>
      </c>
      <c r="P436" t="s">
        <v>90</v>
      </c>
      <c r="Q436" t="s">
        <v>90</v>
      </c>
      <c r="R436" t="s">
        <v>90</v>
      </c>
      <c r="S436" t="s">
        <v>90</v>
      </c>
      <c r="T436" t="s">
        <v>90</v>
      </c>
      <c r="U436" t="s">
        <v>90</v>
      </c>
      <c r="V436" t="s">
        <v>90</v>
      </c>
    </row>
    <row r="437" spans="1:22" ht="20">
      <c r="A437" s="46">
        <v>37490</v>
      </c>
      <c r="B437" s="45" t="s">
        <v>941</v>
      </c>
      <c r="C437" s="45"/>
      <c r="D437" s="47">
        <v>2</v>
      </c>
      <c r="E437" s="47" t="s">
        <v>483</v>
      </c>
      <c r="F437" s="47" t="s">
        <v>414</v>
      </c>
      <c r="G437" s="47">
        <v>2</v>
      </c>
      <c r="H437" s="90" t="s">
        <v>589</v>
      </c>
      <c r="I437" s="48">
        <v>4</v>
      </c>
      <c r="J437" s="47" t="s">
        <v>458</v>
      </c>
      <c r="N437" t="s">
        <v>90</v>
      </c>
      <c r="O437" t="s">
        <v>256</v>
      </c>
      <c r="P437" t="s">
        <v>90</v>
      </c>
      <c r="Q437" t="s">
        <v>90</v>
      </c>
      <c r="R437" t="s">
        <v>90</v>
      </c>
      <c r="S437" t="s">
        <v>90</v>
      </c>
      <c r="T437" t="s">
        <v>90</v>
      </c>
      <c r="U437" t="s">
        <v>90</v>
      </c>
      <c r="V437" t="s">
        <v>90</v>
      </c>
    </row>
    <row r="438" spans="1:22" ht="20">
      <c r="A438" s="46">
        <v>37491</v>
      </c>
      <c r="B438" s="45" t="s">
        <v>942</v>
      </c>
      <c r="C438" s="45"/>
      <c r="D438" s="47">
        <v>2</v>
      </c>
      <c r="E438" s="47" t="s">
        <v>483</v>
      </c>
      <c r="F438" s="47" t="s">
        <v>414</v>
      </c>
      <c r="G438" s="47">
        <v>2</v>
      </c>
      <c r="H438" s="90" t="s">
        <v>590</v>
      </c>
      <c r="I438" s="48">
        <v>4</v>
      </c>
      <c r="J438" s="47" t="s">
        <v>458</v>
      </c>
      <c r="N438" t="s">
        <v>90</v>
      </c>
      <c r="O438" t="s">
        <v>256</v>
      </c>
      <c r="P438" t="s">
        <v>90</v>
      </c>
      <c r="Q438" t="s">
        <v>90</v>
      </c>
      <c r="R438" t="s">
        <v>90</v>
      </c>
      <c r="S438" t="s">
        <v>90</v>
      </c>
      <c r="T438" t="s">
        <v>90</v>
      </c>
      <c r="U438" t="s">
        <v>90</v>
      </c>
      <c r="V438" t="s">
        <v>90</v>
      </c>
    </row>
    <row r="439" spans="1:22" ht="20">
      <c r="A439" s="46">
        <v>37492</v>
      </c>
      <c r="B439" s="45" t="s">
        <v>943</v>
      </c>
      <c r="C439" s="45"/>
      <c r="D439" s="47">
        <v>2</v>
      </c>
      <c r="E439" s="47" t="s">
        <v>483</v>
      </c>
      <c r="F439" s="47" t="s">
        <v>414</v>
      </c>
      <c r="G439" s="47">
        <v>2</v>
      </c>
      <c r="H439" s="90" t="s">
        <v>591</v>
      </c>
      <c r="I439" s="48">
        <v>4</v>
      </c>
      <c r="J439" s="47" t="s">
        <v>458</v>
      </c>
      <c r="N439" t="s">
        <v>90</v>
      </c>
      <c r="O439" t="s">
        <v>256</v>
      </c>
      <c r="P439" t="s">
        <v>90</v>
      </c>
      <c r="Q439" t="s">
        <v>90</v>
      </c>
      <c r="R439" t="s">
        <v>90</v>
      </c>
      <c r="S439" t="s">
        <v>90</v>
      </c>
      <c r="T439" t="s">
        <v>90</v>
      </c>
      <c r="U439" t="s">
        <v>90</v>
      </c>
      <c r="V439" t="s">
        <v>90</v>
      </c>
    </row>
    <row r="440" spans="1:22" ht="20">
      <c r="A440" s="46">
        <v>37493</v>
      </c>
      <c r="B440" s="45" t="s">
        <v>944</v>
      </c>
      <c r="C440" s="45"/>
      <c r="D440" s="47">
        <v>2</v>
      </c>
      <c r="E440" s="47" t="s">
        <v>483</v>
      </c>
      <c r="F440" s="47" t="s">
        <v>414</v>
      </c>
      <c r="G440" s="47">
        <v>2</v>
      </c>
      <c r="H440" s="90" t="s">
        <v>592</v>
      </c>
      <c r="I440" s="48">
        <v>4</v>
      </c>
      <c r="J440" s="47" t="s">
        <v>458</v>
      </c>
      <c r="N440" t="s">
        <v>90</v>
      </c>
      <c r="O440" t="s">
        <v>256</v>
      </c>
      <c r="P440" t="s">
        <v>90</v>
      </c>
      <c r="Q440" t="s">
        <v>90</v>
      </c>
      <c r="R440" t="s">
        <v>90</v>
      </c>
      <c r="S440" t="s">
        <v>90</v>
      </c>
      <c r="T440" t="s">
        <v>90</v>
      </c>
      <c r="U440" t="s">
        <v>90</v>
      </c>
      <c r="V440" t="s">
        <v>90</v>
      </c>
    </row>
    <row r="441" spans="1:22" ht="20">
      <c r="A441" s="46">
        <v>37494</v>
      </c>
      <c r="B441" s="45" t="s">
        <v>653</v>
      </c>
      <c r="C441" s="45"/>
      <c r="D441" s="47">
        <v>1</v>
      </c>
      <c r="E441" s="47" t="s">
        <v>434</v>
      </c>
      <c r="F441" s="47" t="s">
        <v>88</v>
      </c>
      <c r="G441" s="47">
        <v>5</v>
      </c>
      <c r="H441" s="90" t="s">
        <v>593</v>
      </c>
      <c r="I441" s="48">
        <v>1</v>
      </c>
      <c r="J441" s="47" t="s">
        <v>460</v>
      </c>
      <c r="N441" t="s">
        <v>90</v>
      </c>
      <c r="O441" t="s">
        <v>256</v>
      </c>
      <c r="P441" t="s">
        <v>90</v>
      </c>
      <c r="Q441" t="s">
        <v>90</v>
      </c>
      <c r="R441" t="s">
        <v>90</v>
      </c>
      <c r="S441" t="s">
        <v>90</v>
      </c>
      <c r="T441" t="s">
        <v>90</v>
      </c>
      <c r="U441" t="s">
        <v>90</v>
      </c>
      <c r="V441" t="s">
        <v>90</v>
      </c>
    </row>
    <row r="442" spans="1:22" ht="20">
      <c r="A442" s="46">
        <v>37495</v>
      </c>
      <c r="B442" s="45" t="s">
        <v>653</v>
      </c>
      <c r="C442" s="45"/>
      <c r="D442" s="47">
        <v>1</v>
      </c>
      <c r="E442" s="47" t="s">
        <v>525</v>
      </c>
      <c r="F442" s="47" t="s">
        <v>468</v>
      </c>
      <c r="G442" s="47">
        <v>1</v>
      </c>
      <c r="H442" s="90" t="s">
        <v>594</v>
      </c>
      <c r="I442" s="48">
        <v>1</v>
      </c>
      <c r="J442" s="47" t="s">
        <v>460</v>
      </c>
      <c r="N442" t="s">
        <v>90</v>
      </c>
      <c r="O442" t="s">
        <v>256</v>
      </c>
      <c r="P442" t="s">
        <v>90</v>
      </c>
      <c r="Q442" t="s">
        <v>90</v>
      </c>
      <c r="R442" t="s">
        <v>90</v>
      </c>
      <c r="S442" t="s">
        <v>90</v>
      </c>
      <c r="T442" t="s">
        <v>90</v>
      </c>
      <c r="U442" t="s">
        <v>90</v>
      </c>
      <c r="V442" t="s">
        <v>90</v>
      </c>
    </row>
    <row r="443" spans="1:22" ht="20">
      <c r="A443" s="46">
        <v>37496</v>
      </c>
      <c r="B443" s="45" t="s">
        <v>653</v>
      </c>
      <c r="C443" s="45"/>
      <c r="D443" s="47">
        <v>1</v>
      </c>
      <c r="E443" s="47" t="s">
        <v>467</v>
      </c>
      <c r="F443" s="47" t="s">
        <v>468</v>
      </c>
      <c r="G443" s="47">
        <v>1</v>
      </c>
      <c r="H443" s="90" t="s">
        <v>595</v>
      </c>
      <c r="I443" s="48">
        <v>2</v>
      </c>
      <c r="J443" s="47" t="s">
        <v>460</v>
      </c>
      <c r="N443" t="s">
        <v>90</v>
      </c>
      <c r="O443" t="s">
        <v>256</v>
      </c>
      <c r="P443" t="s">
        <v>90</v>
      </c>
      <c r="Q443" t="s">
        <v>90</v>
      </c>
      <c r="R443" t="s">
        <v>90</v>
      </c>
      <c r="S443" t="s">
        <v>90</v>
      </c>
      <c r="T443" t="s">
        <v>90</v>
      </c>
      <c r="U443" t="s">
        <v>90</v>
      </c>
      <c r="V443" t="s">
        <v>90</v>
      </c>
    </row>
    <row r="444" spans="1:22" ht="20">
      <c r="A444" s="46">
        <v>37497</v>
      </c>
      <c r="B444" s="45" t="s">
        <v>653</v>
      </c>
      <c r="C444" s="45"/>
      <c r="D444" s="47">
        <v>1</v>
      </c>
      <c r="E444" s="47" t="s">
        <v>462</v>
      </c>
      <c r="F444" s="47" t="s">
        <v>88</v>
      </c>
      <c r="G444" s="47">
        <v>5</v>
      </c>
      <c r="H444" s="90" t="s">
        <v>596</v>
      </c>
      <c r="I444" s="48">
        <v>2</v>
      </c>
      <c r="J444" s="47" t="s">
        <v>460</v>
      </c>
      <c r="N444" t="s">
        <v>90</v>
      </c>
      <c r="O444" t="s">
        <v>256</v>
      </c>
      <c r="P444" t="s">
        <v>90</v>
      </c>
      <c r="Q444" t="s">
        <v>90</v>
      </c>
      <c r="R444" t="s">
        <v>90</v>
      </c>
      <c r="S444" t="s">
        <v>90</v>
      </c>
      <c r="T444" t="s">
        <v>90</v>
      </c>
      <c r="U444" t="s">
        <v>90</v>
      </c>
      <c r="V444" t="s">
        <v>90</v>
      </c>
    </row>
    <row r="445" spans="1:22" ht="20">
      <c r="A445" s="46">
        <v>37498</v>
      </c>
      <c r="B445" s="45" t="s">
        <v>653</v>
      </c>
      <c r="C445" s="45"/>
      <c r="D445" s="47">
        <v>1</v>
      </c>
      <c r="E445" s="47" t="s">
        <v>473</v>
      </c>
      <c r="F445" s="47" t="s">
        <v>473</v>
      </c>
      <c r="G445" s="47" t="s">
        <v>473</v>
      </c>
      <c r="H445" s="90" t="s">
        <v>597</v>
      </c>
      <c r="I445" s="48">
        <v>3</v>
      </c>
      <c r="J445" s="47" t="s">
        <v>460</v>
      </c>
      <c r="N445" t="s">
        <v>90</v>
      </c>
      <c r="O445" t="s">
        <v>256</v>
      </c>
      <c r="P445" t="s">
        <v>90</v>
      </c>
      <c r="Q445" t="s">
        <v>90</v>
      </c>
      <c r="R445" t="s">
        <v>90</v>
      </c>
      <c r="S445" t="s">
        <v>90</v>
      </c>
      <c r="T445" t="s">
        <v>90</v>
      </c>
      <c r="U445" t="s">
        <v>90</v>
      </c>
      <c r="V445" t="s">
        <v>90</v>
      </c>
    </row>
    <row r="446" spans="1:22" ht="20">
      <c r="A446" s="46">
        <v>37499</v>
      </c>
      <c r="B446" s="45" t="s">
        <v>653</v>
      </c>
      <c r="C446" s="45"/>
      <c r="D446" s="47">
        <v>1</v>
      </c>
      <c r="E446" s="47" t="s">
        <v>473</v>
      </c>
      <c r="F446" s="47" t="s">
        <v>473</v>
      </c>
      <c r="G446" s="47" t="s">
        <v>473</v>
      </c>
      <c r="H446" s="90" t="s">
        <v>598</v>
      </c>
      <c r="I446" s="48">
        <v>3</v>
      </c>
      <c r="J446" s="47" t="s">
        <v>460</v>
      </c>
      <c r="N446" t="s">
        <v>90</v>
      </c>
      <c r="O446" t="s">
        <v>256</v>
      </c>
      <c r="P446" t="s">
        <v>90</v>
      </c>
      <c r="Q446" t="s">
        <v>90</v>
      </c>
      <c r="R446" t="s">
        <v>90</v>
      </c>
      <c r="S446" t="s">
        <v>90</v>
      </c>
      <c r="T446" t="s">
        <v>90</v>
      </c>
      <c r="U446" t="s">
        <v>90</v>
      </c>
      <c r="V446" t="s">
        <v>90</v>
      </c>
    </row>
    <row r="447" spans="1:22" ht="20">
      <c r="A447" s="46">
        <v>37500</v>
      </c>
      <c r="B447" s="45" t="s">
        <v>945</v>
      </c>
      <c r="C447" s="45"/>
      <c r="D447" s="47">
        <v>2</v>
      </c>
      <c r="E447" s="47" t="s">
        <v>469</v>
      </c>
      <c r="F447" s="47" t="s">
        <v>474</v>
      </c>
      <c r="G447" s="47"/>
      <c r="H447" s="90" t="s">
        <v>599</v>
      </c>
      <c r="I447" s="48">
        <v>1</v>
      </c>
      <c r="J447" s="47" t="s">
        <v>203</v>
      </c>
      <c r="N447" t="s">
        <v>90</v>
      </c>
      <c r="O447" t="s">
        <v>256</v>
      </c>
      <c r="P447" t="s">
        <v>90</v>
      </c>
      <c r="Q447" t="s">
        <v>90</v>
      </c>
      <c r="R447" t="s">
        <v>90</v>
      </c>
      <c r="S447" t="s">
        <v>90</v>
      </c>
      <c r="T447" t="s">
        <v>90</v>
      </c>
      <c r="U447" t="s">
        <v>90</v>
      </c>
      <c r="V447" t="s">
        <v>90</v>
      </c>
    </row>
    <row r="448" spans="1:22" ht="20">
      <c r="A448" s="46">
        <v>38019</v>
      </c>
      <c r="B448" s="45" t="s">
        <v>673</v>
      </c>
      <c r="C448" s="45"/>
      <c r="D448" s="47">
        <v>4</v>
      </c>
      <c r="E448" s="47" t="s">
        <v>526</v>
      </c>
      <c r="F448" s="59" t="s">
        <v>498</v>
      </c>
      <c r="G448" s="47"/>
      <c r="H448" s="90" t="s">
        <v>600</v>
      </c>
      <c r="I448" s="48">
        <v>4</v>
      </c>
      <c r="J448" s="47" t="s">
        <v>458</v>
      </c>
      <c r="N448" t="s">
        <v>90</v>
      </c>
      <c r="O448" t="s">
        <v>256</v>
      </c>
      <c r="P448" t="s">
        <v>90</v>
      </c>
      <c r="Q448" t="s">
        <v>90</v>
      </c>
      <c r="R448" t="s">
        <v>90</v>
      </c>
      <c r="S448" t="s">
        <v>90</v>
      </c>
      <c r="T448" t="s">
        <v>256</v>
      </c>
      <c r="U448" t="s">
        <v>256</v>
      </c>
      <c r="V448" t="s">
        <v>256</v>
      </c>
    </row>
    <row r="449" spans="1:22" ht="20">
      <c r="A449" s="46">
        <v>37501</v>
      </c>
      <c r="B449" s="45" t="s">
        <v>946</v>
      </c>
      <c r="C449" s="45" t="s">
        <v>90</v>
      </c>
      <c r="D449" s="47">
        <v>2</v>
      </c>
      <c r="E449" s="47" t="s">
        <v>467</v>
      </c>
      <c r="F449" s="47" t="s">
        <v>474</v>
      </c>
      <c r="G449" s="47"/>
      <c r="H449" s="90" t="s">
        <v>601</v>
      </c>
      <c r="I449" s="48" t="s">
        <v>465</v>
      </c>
      <c r="J449" s="47" t="s">
        <v>203</v>
      </c>
      <c r="N449" t="s">
        <v>90</v>
      </c>
      <c r="O449" t="s">
        <v>256</v>
      </c>
      <c r="P449" t="s">
        <v>90</v>
      </c>
      <c r="Q449" t="s">
        <v>90</v>
      </c>
      <c r="R449" t="s">
        <v>90</v>
      </c>
      <c r="S449" t="s">
        <v>90</v>
      </c>
      <c r="T449" t="s">
        <v>90</v>
      </c>
      <c r="U449" t="s">
        <v>256</v>
      </c>
      <c r="V449" t="s">
        <v>90</v>
      </c>
    </row>
    <row r="450" spans="1:22" ht="20">
      <c r="A450" s="46">
        <v>37502</v>
      </c>
      <c r="B450" s="45" t="s">
        <v>947</v>
      </c>
      <c r="C450" s="45" t="s">
        <v>90</v>
      </c>
      <c r="D450" s="47">
        <v>2</v>
      </c>
      <c r="E450" s="47" t="s">
        <v>486</v>
      </c>
      <c r="F450" s="47" t="s">
        <v>445</v>
      </c>
      <c r="G450" s="47">
        <v>4</v>
      </c>
      <c r="H450" s="90" t="s">
        <v>602</v>
      </c>
      <c r="I450" s="48" t="s">
        <v>465</v>
      </c>
      <c r="J450" s="47" t="s">
        <v>203</v>
      </c>
      <c r="N450" t="s">
        <v>90</v>
      </c>
      <c r="O450" t="s">
        <v>90</v>
      </c>
      <c r="P450" t="s">
        <v>90</v>
      </c>
      <c r="Q450" t="s">
        <v>90</v>
      </c>
      <c r="R450" t="s">
        <v>90</v>
      </c>
      <c r="S450" t="s">
        <v>90</v>
      </c>
      <c r="T450" t="s">
        <v>90</v>
      </c>
      <c r="U450" t="s">
        <v>256</v>
      </c>
      <c r="V450" t="s">
        <v>90</v>
      </c>
    </row>
    <row r="451" spans="1:22" ht="20">
      <c r="A451" s="46">
        <v>37503</v>
      </c>
      <c r="B451" s="45" t="s">
        <v>948</v>
      </c>
      <c r="C451" s="45" t="s">
        <v>90</v>
      </c>
      <c r="D451" s="47">
        <v>2</v>
      </c>
      <c r="E451" s="47" t="s">
        <v>467</v>
      </c>
      <c r="F451" s="47" t="s">
        <v>472</v>
      </c>
      <c r="G451" s="47">
        <v>5</v>
      </c>
      <c r="H451" s="90" t="s">
        <v>620</v>
      </c>
      <c r="I451" s="48" t="s">
        <v>465</v>
      </c>
      <c r="J451" s="47" t="s">
        <v>203</v>
      </c>
      <c r="N451" t="s">
        <v>90</v>
      </c>
      <c r="O451" t="s">
        <v>90</v>
      </c>
      <c r="P451" t="s">
        <v>90</v>
      </c>
      <c r="Q451" t="s">
        <v>90</v>
      </c>
      <c r="R451" t="s">
        <v>90</v>
      </c>
      <c r="S451" t="s">
        <v>90</v>
      </c>
      <c r="T451" t="s">
        <v>90</v>
      </c>
      <c r="U451" t="s">
        <v>256</v>
      </c>
      <c r="V451" t="s">
        <v>90</v>
      </c>
    </row>
    <row r="452" spans="1:22" ht="20">
      <c r="A452" s="46">
        <v>37504</v>
      </c>
      <c r="B452" s="45" t="s">
        <v>949</v>
      </c>
      <c r="C452" s="45" t="s">
        <v>90</v>
      </c>
      <c r="D452" s="47">
        <v>2</v>
      </c>
      <c r="E452" s="47" t="s">
        <v>486</v>
      </c>
      <c r="F452" s="47" t="s">
        <v>466</v>
      </c>
      <c r="G452" s="47">
        <v>5</v>
      </c>
      <c r="H452" s="90" t="s">
        <v>603</v>
      </c>
      <c r="I452" s="48" t="s">
        <v>465</v>
      </c>
      <c r="J452" s="47" t="s">
        <v>203</v>
      </c>
      <c r="N452" t="s">
        <v>90</v>
      </c>
      <c r="O452" t="s">
        <v>90</v>
      </c>
      <c r="P452" t="s">
        <v>90</v>
      </c>
      <c r="Q452" t="s">
        <v>90</v>
      </c>
      <c r="R452" t="s">
        <v>90</v>
      </c>
      <c r="S452" t="s">
        <v>90</v>
      </c>
      <c r="T452" t="s">
        <v>90</v>
      </c>
      <c r="U452" t="s">
        <v>256</v>
      </c>
      <c r="V452" t="s">
        <v>90</v>
      </c>
    </row>
    <row r="453" spans="1:22" ht="20">
      <c r="A453" s="46">
        <v>37505</v>
      </c>
      <c r="B453" s="45" t="s">
        <v>950</v>
      </c>
      <c r="C453" s="45" t="s">
        <v>90</v>
      </c>
      <c r="D453" s="47">
        <v>2</v>
      </c>
      <c r="E453" s="56" t="s">
        <v>424</v>
      </c>
      <c r="F453" s="73" t="s">
        <v>474</v>
      </c>
      <c r="G453" s="47"/>
      <c r="H453" s="90" t="s">
        <v>604</v>
      </c>
      <c r="I453" s="48" t="s">
        <v>465</v>
      </c>
      <c r="J453" s="47" t="s">
        <v>458</v>
      </c>
      <c r="N453" t="s">
        <v>90</v>
      </c>
      <c r="O453" t="s">
        <v>90</v>
      </c>
      <c r="P453" t="s">
        <v>90</v>
      </c>
      <c r="Q453" t="s">
        <v>90</v>
      </c>
      <c r="R453" t="s">
        <v>90</v>
      </c>
      <c r="S453" t="s">
        <v>90</v>
      </c>
      <c r="T453" t="s">
        <v>90</v>
      </c>
      <c r="U453" t="s">
        <v>256</v>
      </c>
      <c r="V453" t="s">
        <v>90</v>
      </c>
    </row>
    <row r="454" spans="1:22" ht="20">
      <c r="A454" s="46">
        <v>37506</v>
      </c>
      <c r="B454" s="45" t="s">
        <v>951</v>
      </c>
      <c r="C454" s="45" t="s">
        <v>90</v>
      </c>
      <c r="D454" s="47">
        <v>2</v>
      </c>
      <c r="E454" s="47" t="s">
        <v>525</v>
      </c>
      <c r="F454" s="47" t="s">
        <v>468</v>
      </c>
      <c r="G454" s="47">
        <v>4</v>
      </c>
      <c r="H454" s="90" t="s">
        <v>605</v>
      </c>
      <c r="I454" s="48" t="s">
        <v>465</v>
      </c>
      <c r="J454" s="47" t="s">
        <v>203</v>
      </c>
      <c r="N454" t="s">
        <v>90</v>
      </c>
      <c r="O454" t="s">
        <v>90</v>
      </c>
      <c r="P454" t="s">
        <v>90</v>
      </c>
      <c r="Q454" t="s">
        <v>90</v>
      </c>
      <c r="R454" t="s">
        <v>90</v>
      </c>
      <c r="S454" t="s">
        <v>90</v>
      </c>
      <c r="T454" t="s">
        <v>90</v>
      </c>
      <c r="U454" t="s">
        <v>256</v>
      </c>
      <c r="V454" t="s">
        <v>90</v>
      </c>
    </row>
    <row r="455" spans="1:22" ht="20">
      <c r="A455" s="46">
        <v>37507</v>
      </c>
      <c r="B455" s="45" t="s">
        <v>952</v>
      </c>
      <c r="C455" s="45" t="s">
        <v>90</v>
      </c>
      <c r="D455" s="47">
        <v>2</v>
      </c>
      <c r="E455" s="47" t="s">
        <v>527</v>
      </c>
      <c r="F455" s="47" t="s">
        <v>528</v>
      </c>
      <c r="G455" s="47">
        <v>4</v>
      </c>
      <c r="H455" s="90" t="s">
        <v>606</v>
      </c>
      <c r="I455" s="48" t="s">
        <v>465</v>
      </c>
      <c r="J455" s="47" t="s">
        <v>203</v>
      </c>
      <c r="N455" t="s">
        <v>90</v>
      </c>
      <c r="O455" t="s">
        <v>90</v>
      </c>
      <c r="P455" t="s">
        <v>90</v>
      </c>
      <c r="Q455" t="s">
        <v>90</v>
      </c>
      <c r="R455" t="s">
        <v>90</v>
      </c>
      <c r="S455" t="s">
        <v>90</v>
      </c>
      <c r="T455" t="s">
        <v>90</v>
      </c>
      <c r="U455" t="s">
        <v>256</v>
      </c>
      <c r="V455" t="s">
        <v>90</v>
      </c>
    </row>
    <row r="456" spans="1:22" ht="20">
      <c r="A456" s="46">
        <v>37508</v>
      </c>
      <c r="B456" s="45" t="s">
        <v>953</v>
      </c>
      <c r="C456" s="45" t="s">
        <v>90</v>
      </c>
      <c r="D456" s="47">
        <v>2</v>
      </c>
      <c r="E456" s="47" t="s">
        <v>462</v>
      </c>
      <c r="F456" s="73" t="s">
        <v>463</v>
      </c>
      <c r="G456" s="47">
        <v>5</v>
      </c>
      <c r="H456" s="90" t="s">
        <v>607</v>
      </c>
      <c r="I456" s="48" t="s">
        <v>465</v>
      </c>
      <c r="J456" s="47" t="s">
        <v>203</v>
      </c>
      <c r="N456" t="s">
        <v>90</v>
      </c>
      <c r="O456" t="s">
        <v>90</v>
      </c>
      <c r="P456" t="s">
        <v>90</v>
      </c>
      <c r="Q456" t="s">
        <v>90</v>
      </c>
      <c r="R456" t="s">
        <v>90</v>
      </c>
      <c r="S456" t="s">
        <v>90</v>
      </c>
      <c r="T456" t="s">
        <v>90</v>
      </c>
      <c r="U456" t="s">
        <v>256</v>
      </c>
      <c r="V456" t="s">
        <v>90</v>
      </c>
    </row>
    <row r="457" spans="1:22" ht="20">
      <c r="A457" s="46">
        <v>37509</v>
      </c>
      <c r="B457" s="45" t="s">
        <v>954</v>
      </c>
      <c r="C457" s="45" t="s">
        <v>90</v>
      </c>
      <c r="D457" s="47">
        <v>2</v>
      </c>
      <c r="E457" s="47" t="s">
        <v>467</v>
      </c>
      <c r="F457" s="47" t="s">
        <v>468</v>
      </c>
      <c r="G457" s="47">
        <v>5</v>
      </c>
      <c r="H457" s="90" t="s">
        <v>608</v>
      </c>
      <c r="I457" s="48" t="s">
        <v>465</v>
      </c>
      <c r="J457" s="47" t="s">
        <v>203</v>
      </c>
      <c r="N457" t="s">
        <v>90</v>
      </c>
      <c r="O457" t="s">
        <v>90</v>
      </c>
      <c r="P457" t="s">
        <v>90</v>
      </c>
      <c r="Q457" t="s">
        <v>90</v>
      </c>
      <c r="R457" t="s">
        <v>90</v>
      </c>
      <c r="S457" t="s">
        <v>90</v>
      </c>
      <c r="T457" t="s">
        <v>90</v>
      </c>
      <c r="U457" t="s">
        <v>256</v>
      </c>
      <c r="V457" t="s">
        <v>90</v>
      </c>
    </row>
    <row r="458" spans="1:22" ht="20">
      <c r="A458" s="46">
        <v>37510</v>
      </c>
      <c r="B458" s="45" t="s">
        <v>955</v>
      </c>
      <c r="C458" s="45" t="s">
        <v>90</v>
      </c>
      <c r="D458" s="47">
        <v>2</v>
      </c>
      <c r="E458" s="47" t="s">
        <v>525</v>
      </c>
      <c r="F458" s="47" t="s">
        <v>466</v>
      </c>
      <c r="G458" s="47">
        <v>4</v>
      </c>
      <c r="H458" s="90" t="s">
        <v>609</v>
      </c>
      <c r="I458" s="48" t="s">
        <v>465</v>
      </c>
      <c r="J458" s="47" t="s">
        <v>458</v>
      </c>
      <c r="N458" t="s">
        <v>90</v>
      </c>
      <c r="O458" t="s">
        <v>90</v>
      </c>
      <c r="P458" t="s">
        <v>90</v>
      </c>
      <c r="Q458" t="s">
        <v>90</v>
      </c>
      <c r="R458" t="s">
        <v>90</v>
      </c>
      <c r="S458" t="s">
        <v>90</v>
      </c>
      <c r="T458" t="s">
        <v>90</v>
      </c>
      <c r="U458" t="s">
        <v>256</v>
      </c>
      <c r="V458" t="s">
        <v>90</v>
      </c>
    </row>
    <row r="459" spans="1:22" ht="20">
      <c r="A459" s="46">
        <v>37511</v>
      </c>
      <c r="B459" s="45" t="s">
        <v>956</v>
      </c>
      <c r="C459" s="45" t="s">
        <v>90</v>
      </c>
      <c r="D459" s="47">
        <v>2</v>
      </c>
      <c r="E459" s="73" t="s">
        <v>424</v>
      </c>
      <c r="F459" s="73" t="s">
        <v>529</v>
      </c>
      <c r="G459" s="47">
        <v>5</v>
      </c>
      <c r="H459" s="90" t="s">
        <v>610</v>
      </c>
      <c r="I459" s="48" t="s">
        <v>465</v>
      </c>
      <c r="J459" s="47" t="s">
        <v>458</v>
      </c>
      <c r="N459" t="s">
        <v>90</v>
      </c>
      <c r="O459" t="s">
        <v>90</v>
      </c>
      <c r="P459" t="s">
        <v>90</v>
      </c>
      <c r="Q459" t="s">
        <v>90</v>
      </c>
      <c r="R459" t="s">
        <v>90</v>
      </c>
      <c r="S459" t="s">
        <v>90</v>
      </c>
      <c r="T459" t="s">
        <v>90</v>
      </c>
      <c r="U459" t="s">
        <v>256</v>
      </c>
      <c r="V459" t="s">
        <v>90</v>
      </c>
    </row>
    <row r="460" spans="1:22" ht="20">
      <c r="A460" s="46">
        <v>37512</v>
      </c>
      <c r="B460" s="45" t="s">
        <v>957</v>
      </c>
      <c r="C460" s="45" t="s">
        <v>90</v>
      </c>
      <c r="D460" s="47">
        <v>2</v>
      </c>
      <c r="E460" s="47" t="s">
        <v>467</v>
      </c>
      <c r="F460" s="47" t="s">
        <v>468</v>
      </c>
      <c r="G460" s="47">
        <v>3</v>
      </c>
      <c r="H460" s="90" t="s">
        <v>611</v>
      </c>
      <c r="I460" s="48" t="s">
        <v>530</v>
      </c>
      <c r="J460" s="47" t="s">
        <v>458</v>
      </c>
      <c r="N460" t="s">
        <v>90</v>
      </c>
      <c r="O460" t="s">
        <v>90</v>
      </c>
      <c r="P460" t="s">
        <v>90</v>
      </c>
      <c r="Q460" t="s">
        <v>90</v>
      </c>
      <c r="R460" t="s">
        <v>90</v>
      </c>
      <c r="S460" t="s">
        <v>90</v>
      </c>
      <c r="T460" t="s">
        <v>90</v>
      </c>
      <c r="U460" t="s">
        <v>256</v>
      </c>
      <c r="V460" t="s">
        <v>90</v>
      </c>
    </row>
    <row r="461" spans="1:22" ht="20">
      <c r="A461" s="46">
        <v>37513</v>
      </c>
      <c r="B461" s="45" t="s">
        <v>958</v>
      </c>
      <c r="C461" s="45" t="s">
        <v>90</v>
      </c>
      <c r="D461" s="47">
        <v>2</v>
      </c>
      <c r="E461" s="47" t="s">
        <v>467</v>
      </c>
      <c r="F461" s="47" t="s">
        <v>468</v>
      </c>
      <c r="G461" s="47">
        <v>3</v>
      </c>
      <c r="H461" s="90" t="s">
        <v>612</v>
      </c>
      <c r="I461" s="48" t="s">
        <v>530</v>
      </c>
      <c r="J461" s="47" t="s">
        <v>458</v>
      </c>
      <c r="N461" t="s">
        <v>90</v>
      </c>
      <c r="O461" t="s">
        <v>90</v>
      </c>
      <c r="P461" t="s">
        <v>90</v>
      </c>
      <c r="Q461" t="s">
        <v>90</v>
      </c>
      <c r="R461" t="s">
        <v>90</v>
      </c>
      <c r="S461" t="s">
        <v>90</v>
      </c>
      <c r="T461" t="s">
        <v>90</v>
      </c>
      <c r="U461" t="s">
        <v>256</v>
      </c>
      <c r="V461" t="s">
        <v>90</v>
      </c>
    </row>
    <row r="462" spans="1:22" ht="20">
      <c r="A462" s="46">
        <v>38096</v>
      </c>
      <c r="B462" s="45" t="s">
        <v>959</v>
      </c>
      <c r="C462" s="45"/>
      <c r="D462" s="47">
        <v>2</v>
      </c>
      <c r="E462" s="47" t="s">
        <v>525</v>
      </c>
      <c r="F462" s="47" t="s">
        <v>491</v>
      </c>
      <c r="G462" s="47"/>
      <c r="H462" s="90" t="s">
        <v>613</v>
      </c>
      <c r="I462" s="48" t="s">
        <v>531</v>
      </c>
      <c r="J462" s="47" t="s">
        <v>203</v>
      </c>
      <c r="N462" t="s">
        <v>90</v>
      </c>
      <c r="O462" t="s">
        <v>90</v>
      </c>
      <c r="P462" t="s">
        <v>90</v>
      </c>
      <c r="Q462" t="s">
        <v>90</v>
      </c>
      <c r="R462" t="s">
        <v>90</v>
      </c>
      <c r="S462" t="s">
        <v>90</v>
      </c>
      <c r="T462" t="s">
        <v>90</v>
      </c>
      <c r="U462" t="s">
        <v>90</v>
      </c>
      <c r="V462" t="s">
        <v>90</v>
      </c>
    </row>
    <row r="463" spans="1:22" ht="20">
      <c r="A463" s="46">
        <v>37514</v>
      </c>
      <c r="B463" s="45" t="s">
        <v>960</v>
      </c>
      <c r="C463" s="45" t="s">
        <v>90</v>
      </c>
      <c r="D463" s="47">
        <v>2</v>
      </c>
      <c r="E463" s="47" t="s">
        <v>525</v>
      </c>
      <c r="F463" s="47" t="s">
        <v>474</v>
      </c>
      <c r="G463" s="47"/>
      <c r="H463" s="90" t="s">
        <v>614</v>
      </c>
      <c r="I463" s="48" t="s">
        <v>532</v>
      </c>
      <c r="J463" s="47" t="s">
        <v>460</v>
      </c>
      <c r="N463" t="s">
        <v>90</v>
      </c>
      <c r="O463" t="s">
        <v>90</v>
      </c>
      <c r="P463" t="s">
        <v>90</v>
      </c>
      <c r="Q463" t="s">
        <v>90</v>
      </c>
      <c r="R463" t="s">
        <v>90</v>
      </c>
      <c r="S463" t="s">
        <v>90</v>
      </c>
      <c r="T463" t="s">
        <v>90</v>
      </c>
      <c r="U463" t="s">
        <v>256</v>
      </c>
      <c r="V463" t="s">
        <v>90</v>
      </c>
    </row>
    <row r="464" spans="1:22" ht="20">
      <c r="A464" s="46">
        <v>38097</v>
      </c>
      <c r="B464" s="45" t="s">
        <v>961</v>
      </c>
      <c r="C464" s="45"/>
      <c r="D464" s="47">
        <v>2</v>
      </c>
      <c r="E464" s="47" t="s">
        <v>467</v>
      </c>
      <c r="F464" s="47" t="s">
        <v>445</v>
      </c>
      <c r="G464" s="47">
        <v>5</v>
      </c>
      <c r="H464" s="90" t="s">
        <v>615</v>
      </c>
      <c r="I464" s="48" t="s">
        <v>531</v>
      </c>
      <c r="J464" s="47" t="s">
        <v>203</v>
      </c>
      <c r="N464" t="s">
        <v>90</v>
      </c>
      <c r="O464" t="s">
        <v>90</v>
      </c>
      <c r="P464" t="s">
        <v>90</v>
      </c>
      <c r="Q464" t="s">
        <v>90</v>
      </c>
      <c r="R464" t="s">
        <v>90</v>
      </c>
      <c r="S464" t="s">
        <v>90</v>
      </c>
      <c r="T464" t="s">
        <v>90</v>
      </c>
      <c r="U464" t="s">
        <v>90</v>
      </c>
      <c r="V464" t="s">
        <v>90</v>
      </c>
    </row>
    <row r="465" spans="1:22" ht="20">
      <c r="A465" s="46">
        <v>37515</v>
      </c>
      <c r="B465" s="45" t="s">
        <v>962</v>
      </c>
      <c r="C465" s="45" t="s">
        <v>90</v>
      </c>
      <c r="D465" s="47">
        <v>2</v>
      </c>
      <c r="E465" s="47" t="s">
        <v>467</v>
      </c>
      <c r="F465" s="47" t="s">
        <v>445</v>
      </c>
      <c r="G465" s="47">
        <v>5</v>
      </c>
      <c r="H465" s="90" t="s">
        <v>616</v>
      </c>
      <c r="I465" s="48" t="s">
        <v>532</v>
      </c>
      <c r="J465" s="47" t="s">
        <v>460</v>
      </c>
      <c r="N465" t="s">
        <v>90</v>
      </c>
      <c r="O465" t="s">
        <v>90</v>
      </c>
      <c r="P465" t="s">
        <v>90</v>
      </c>
      <c r="Q465" t="s">
        <v>90</v>
      </c>
      <c r="R465" t="s">
        <v>90</v>
      </c>
      <c r="S465" t="s">
        <v>90</v>
      </c>
      <c r="T465" t="s">
        <v>90</v>
      </c>
      <c r="U465" t="s">
        <v>256</v>
      </c>
      <c r="V465" t="s">
        <v>90</v>
      </c>
    </row>
    <row r="466" spans="1:22" ht="20">
      <c r="A466" s="46">
        <v>38098</v>
      </c>
      <c r="B466" s="45" t="s">
        <v>963</v>
      </c>
      <c r="C466" s="45"/>
      <c r="D466" s="47">
        <v>2</v>
      </c>
      <c r="E466" s="47" t="s">
        <v>525</v>
      </c>
      <c r="F466" s="47" t="s">
        <v>435</v>
      </c>
      <c r="G466" s="47">
        <v>5</v>
      </c>
      <c r="H466" s="90" t="s">
        <v>617</v>
      </c>
      <c r="I466" s="48" t="s">
        <v>531</v>
      </c>
      <c r="J466" s="47" t="s">
        <v>203</v>
      </c>
      <c r="N466" t="s">
        <v>90</v>
      </c>
      <c r="O466" t="s">
        <v>90</v>
      </c>
      <c r="P466" t="s">
        <v>90</v>
      </c>
      <c r="Q466" t="s">
        <v>90</v>
      </c>
      <c r="R466" t="s">
        <v>90</v>
      </c>
      <c r="S466" t="s">
        <v>90</v>
      </c>
      <c r="T466" t="s">
        <v>90</v>
      </c>
      <c r="U466" t="s">
        <v>90</v>
      </c>
      <c r="V466" t="s">
        <v>90</v>
      </c>
    </row>
    <row r="467" spans="1:22" ht="20">
      <c r="A467" s="46">
        <v>37518</v>
      </c>
      <c r="B467" s="45" t="s">
        <v>964</v>
      </c>
      <c r="C467" s="45" t="s">
        <v>90</v>
      </c>
      <c r="D467" s="47">
        <v>2</v>
      </c>
      <c r="E467" s="47" t="s">
        <v>467</v>
      </c>
      <c r="F467" s="47" t="s">
        <v>463</v>
      </c>
      <c r="G467" s="47">
        <v>3</v>
      </c>
      <c r="H467" s="90" t="s">
        <v>618</v>
      </c>
      <c r="I467" s="48" t="s">
        <v>532</v>
      </c>
      <c r="J467" s="47" t="s">
        <v>458</v>
      </c>
      <c r="N467" t="s">
        <v>90</v>
      </c>
      <c r="O467" t="s">
        <v>90</v>
      </c>
      <c r="P467" t="s">
        <v>90</v>
      </c>
      <c r="Q467" t="s">
        <v>90</v>
      </c>
      <c r="R467" t="s">
        <v>90</v>
      </c>
      <c r="S467" t="s">
        <v>90</v>
      </c>
      <c r="T467" t="s">
        <v>90</v>
      </c>
      <c r="U467" t="s">
        <v>256</v>
      </c>
      <c r="V467" t="s">
        <v>90</v>
      </c>
    </row>
    <row r="468" spans="1:22" ht="20">
      <c r="A468" s="46">
        <v>38099</v>
      </c>
      <c r="B468" s="45" t="s">
        <v>965</v>
      </c>
      <c r="C468" s="45"/>
      <c r="D468" s="47">
        <v>2</v>
      </c>
      <c r="E468" s="42" t="s">
        <v>462</v>
      </c>
      <c r="F468" s="42" t="s">
        <v>445</v>
      </c>
      <c r="G468" s="42">
        <v>4</v>
      </c>
      <c r="H468" s="90" t="s">
        <v>619</v>
      </c>
      <c r="I468" s="48" t="s">
        <v>531</v>
      </c>
      <c r="J468" s="47" t="s">
        <v>203</v>
      </c>
      <c r="N468" t="s">
        <v>90</v>
      </c>
      <c r="O468" t="s">
        <v>90</v>
      </c>
      <c r="P468" t="s">
        <v>90</v>
      </c>
      <c r="Q468" t="s">
        <v>90</v>
      </c>
      <c r="R468" t="s">
        <v>90</v>
      </c>
      <c r="S468" t="s">
        <v>90</v>
      </c>
      <c r="T468" t="s">
        <v>90</v>
      </c>
      <c r="U468" t="s">
        <v>90</v>
      </c>
      <c r="V468" t="s">
        <v>90</v>
      </c>
    </row>
    <row r="469" spans="1:22" ht="20">
      <c r="A469" s="54">
        <v>38079</v>
      </c>
      <c r="B469" s="55" t="s">
        <v>966</v>
      </c>
      <c r="C469" s="55" t="s">
        <v>90</v>
      </c>
      <c r="D469" s="56">
        <v>2</v>
      </c>
      <c r="E469" s="56" t="s">
        <v>462</v>
      </c>
      <c r="F469" s="56" t="s">
        <v>445</v>
      </c>
      <c r="G469" s="56">
        <v>4</v>
      </c>
      <c r="H469" s="90" t="s">
        <v>609</v>
      </c>
      <c r="I469" s="65" t="s">
        <v>532</v>
      </c>
      <c r="J469" s="56" t="s">
        <v>460</v>
      </c>
      <c r="N469" t="s">
        <v>90</v>
      </c>
      <c r="O469" t="s">
        <v>90</v>
      </c>
      <c r="P469" t="s">
        <v>90</v>
      </c>
      <c r="Q469" t="s">
        <v>90</v>
      </c>
      <c r="R469" t="s">
        <v>90</v>
      </c>
      <c r="S469" t="s">
        <v>90</v>
      </c>
      <c r="T469" t="s">
        <v>90</v>
      </c>
      <c r="U469" t="s">
        <v>256</v>
      </c>
      <c r="V469" t="s">
        <v>90</v>
      </c>
    </row>
    <row r="470" spans="1:22" ht="20">
      <c r="A470" s="46">
        <v>37519</v>
      </c>
      <c r="B470" s="45" t="s">
        <v>967</v>
      </c>
      <c r="C470" s="45" t="s">
        <v>90</v>
      </c>
      <c r="D470" s="47">
        <v>2</v>
      </c>
      <c r="E470" s="47" t="s">
        <v>467</v>
      </c>
      <c r="F470" s="47" t="s">
        <v>472</v>
      </c>
      <c r="G470" s="47">
        <v>4</v>
      </c>
      <c r="H470" s="90" t="s">
        <v>572</v>
      </c>
      <c r="I470" s="48" t="s">
        <v>532</v>
      </c>
      <c r="J470" s="47" t="s">
        <v>458</v>
      </c>
      <c r="N470" t="s">
        <v>90</v>
      </c>
      <c r="O470" t="s">
        <v>90</v>
      </c>
      <c r="P470" t="s">
        <v>90</v>
      </c>
      <c r="Q470" t="s">
        <v>90</v>
      </c>
      <c r="R470" t="s">
        <v>90</v>
      </c>
      <c r="S470" t="s">
        <v>90</v>
      </c>
      <c r="T470" t="s">
        <v>90</v>
      </c>
      <c r="U470" t="s">
        <v>256</v>
      </c>
      <c r="V470" t="s">
        <v>90</v>
      </c>
    </row>
    <row r="471" spans="1:22" ht="20">
      <c r="A471" s="46">
        <v>37520</v>
      </c>
      <c r="B471" s="45" t="s">
        <v>968</v>
      </c>
      <c r="C471" s="45" t="s">
        <v>90</v>
      </c>
      <c r="D471" s="47">
        <v>2</v>
      </c>
      <c r="E471" s="47" t="s">
        <v>424</v>
      </c>
      <c r="F471" s="73" t="s">
        <v>463</v>
      </c>
      <c r="G471" s="47">
        <v>5</v>
      </c>
      <c r="H471" s="90" t="s">
        <v>573</v>
      </c>
      <c r="I471" s="48" t="s">
        <v>532</v>
      </c>
      <c r="J471" s="47" t="s">
        <v>458</v>
      </c>
      <c r="N471" t="s">
        <v>90</v>
      </c>
      <c r="O471" t="s">
        <v>90</v>
      </c>
      <c r="P471" t="s">
        <v>90</v>
      </c>
      <c r="Q471" t="s">
        <v>90</v>
      </c>
      <c r="R471" t="s">
        <v>90</v>
      </c>
      <c r="S471" t="s">
        <v>90</v>
      </c>
      <c r="T471" t="s">
        <v>90</v>
      </c>
      <c r="U471" t="s">
        <v>256</v>
      </c>
      <c r="V471" t="s">
        <v>90</v>
      </c>
    </row>
    <row r="472" spans="1:22" ht="20">
      <c r="A472" s="46">
        <v>38100</v>
      </c>
      <c r="B472" s="45" t="s">
        <v>969</v>
      </c>
      <c r="C472" s="45"/>
      <c r="D472" s="47">
        <v>2</v>
      </c>
      <c r="E472" s="47" t="s">
        <v>462</v>
      </c>
      <c r="F472" s="47" t="s">
        <v>445</v>
      </c>
      <c r="G472" s="47">
        <v>5</v>
      </c>
      <c r="H472" s="90" t="s">
        <v>574</v>
      </c>
      <c r="I472" s="48" t="s">
        <v>531</v>
      </c>
      <c r="J472" s="47" t="s">
        <v>203</v>
      </c>
      <c r="N472" t="s">
        <v>90</v>
      </c>
      <c r="O472" t="s">
        <v>90</v>
      </c>
      <c r="P472" t="s">
        <v>90</v>
      </c>
      <c r="Q472" t="s">
        <v>90</v>
      </c>
      <c r="R472" t="s">
        <v>90</v>
      </c>
      <c r="S472" t="s">
        <v>90</v>
      </c>
      <c r="T472" t="s">
        <v>90</v>
      </c>
      <c r="U472" t="s">
        <v>90</v>
      </c>
      <c r="V472" t="s">
        <v>90</v>
      </c>
    </row>
    <row r="473" spans="1:22" ht="20">
      <c r="A473" s="46">
        <v>37521</v>
      </c>
      <c r="B473" s="45" t="s">
        <v>970</v>
      </c>
      <c r="C473" s="45" t="s">
        <v>90</v>
      </c>
      <c r="D473" s="47">
        <v>2</v>
      </c>
      <c r="E473" s="47" t="s">
        <v>462</v>
      </c>
      <c r="F473" s="47" t="s">
        <v>445</v>
      </c>
      <c r="G473" s="47">
        <v>5</v>
      </c>
      <c r="H473" s="90" t="s">
        <v>575</v>
      </c>
      <c r="I473" s="48" t="s">
        <v>532</v>
      </c>
      <c r="J473" s="47" t="s">
        <v>460</v>
      </c>
      <c r="N473" t="s">
        <v>90</v>
      </c>
      <c r="O473" t="s">
        <v>90</v>
      </c>
      <c r="P473" t="s">
        <v>90</v>
      </c>
      <c r="Q473" t="s">
        <v>90</v>
      </c>
      <c r="R473" t="s">
        <v>90</v>
      </c>
      <c r="S473" t="s">
        <v>90</v>
      </c>
      <c r="T473" t="s">
        <v>90</v>
      </c>
      <c r="U473" t="s">
        <v>256</v>
      </c>
      <c r="V473" t="s">
        <v>90</v>
      </c>
    </row>
    <row r="474" spans="1:22" ht="20">
      <c r="A474" s="46">
        <v>37522</v>
      </c>
      <c r="B474" s="45" t="s">
        <v>971</v>
      </c>
      <c r="C474" s="45" t="s">
        <v>90</v>
      </c>
      <c r="D474" s="47">
        <v>1</v>
      </c>
      <c r="E474" s="47" t="s">
        <v>467</v>
      </c>
      <c r="F474" s="47" t="s">
        <v>472</v>
      </c>
      <c r="G474" s="47">
        <v>5</v>
      </c>
      <c r="H474" s="90" t="s">
        <v>576</v>
      </c>
      <c r="I474" s="48" t="s">
        <v>530</v>
      </c>
      <c r="J474" s="47" t="s">
        <v>460</v>
      </c>
      <c r="N474" t="s">
        <v>90</v>
      </c>
      <c r="O474" t="s">
        <v>90</v>
      </c>
      <c r="P474" t="s">
        <v>90</v>
      </c>
      <c r="Q474" t="s">
        <v>90</v>
      </c>
      <c r="R474" t="s">
        <v>90</v>
      </c>
      <c r="S474" t="s">
        <v>90</v>
      </c>
      <c r="T474" t="s">
        <v>90</v>
      </c>
      <c r="U474" t="s">
        <v>256</v>
      </c>
      <c r="V474" t="s">
        <v>90</v>
      </c>
    </row>
    <row r="475" spans="1:22" ht="20">
      <c r="A475" s="46">
        <v>37523</v>
      </c>
      <c r="B475" s="45" t="s">
        <v>972</v>
      </c>
      <c r="C475" s="45" t="s">
        <v>90</v>
      </c>
      <c r="D475" s="47">
        <v>1</v>
      </c>
      <c r="E475" s="47" t="s">
        <v>525</v>
      </c>
      <c r="F475" s="47" t="s">
        <v>472</v>
      </c>
      <c r="G475" s="47">
        <v>5</v>
      </c>
      <c r="H475" s="90" t="s">
        <v>577</v>
      </c>
      <c r="I475" s="48" t="s">
        <v>530</v>
      </c>
      <c r="J475" s="47" t="s">
        <v>460</v>
      </c>
      <c r="N475" t="s">
        <v>90</v>
      </c>
      <c r="O475" t="s">
        <v>90</v>
      </c>
      <c r="P475" t="s">
        <v>90</v>
      </c>
      <c r="Q475" t="s">
        <v>90</v>
      </c>
      <c r="R475" t="s">
        <v>90</v>
      </c>
      <c r="S475" t="s">
        <v>90</v>
      </c>
      <c r="T475" t="s">
        <v>90</v>
      </c>
      <c r="U475" t="s">
        <v>256</v>
      </c>
      <c r="V475" t="s">
        <v>90</v>
      </c>
    </row>
    <row r="476" spans="1:22" ht="20">
      <c r="A476" s="46">
        <v>38080</v>
      </c>
      <c r="B476" s="45" t="s">
        <v>955</v>
      </c>
      <c r="C476" s="45" t="s">
        <v>90</v>
      </c>
      <c r="D476" s="47">
        <v>2</v>
      </c>
      <c r="E476" s="47" t="s">
        <v>525</v>
      </c>
      <c r="F476" s="47" t="s">
        <v>466</v>
      </c>
      <c r="G476" s="47">
        <v>4</v>
      </c>
      <c r="H476" s="90" t="s">
        <v>578</v>
      </c>
      <c r="I476" s="48" t="s">
        <v>465</v>
      </c>
      <c r="J476" s="47" t="s">
        <v>458</v>
      </c>
      <c r="N476" t="s">
        <v>90</v>
      </c>
      <c r="O476" t="s">
        <v>90</v>
      </c>
      <c r="P476" t="s">
        <v>90</v>
      </c>
      <c r="Q476" t="s">
        <v>90</v>
      </c>
      <c r="R476" t="s">
        <v>90</v>
      </c>
      <c r="S476" t="s">
        <v>90</v>
      </c>
      <c r="T476" t="s">
        <v>90</v>
      </c>
      <c r="U476" t="s">
        <v>256</v>
      </c>
      <c r="V476" t="s">
        <v>90</v>
      </c>
    </row>
    <row r="477" spans="1:22" ht="20">
      <c r="A477" s="46">
        <v>37524</v>
      </c>
      <c r="B477" s="45" t="s">
        <v>973</v>
      </c>
      <c r="C477" s="45"/>
      <c r="D477" s="47">
        <v>2</v>
      </c>
      <c r="E477" s="47" t="s">
        <v>467</v>
      </c>
      <c r="F477" s="47" t="s">
        <v>445</v>
      </c>
      <c r="G477" s="47">
        <v>4</v>
      </c>
      <c r="H477" s="90" t="s">
        <v>579</v>
      </c>
      <c r="I477" s="48" t="s">
        <v>532</v>
      </c>
      <c r="J477" s="47" t="s">
        <v>458</v>
      </c>
      <c r="N477" t="s">
        <v>90</v>
      </c>
      <c r="O477" t="s">
        <v>90</v>
      </c>
      <c r="P477" t="s">
        <v>90</v>
      </c>
      <c r="Q477" t="s">
        <v>90</v>
      </c>
      <c r="R477" t="s">
        <v>90</v>
      </c>
      <c r="S477" t="s">
        <v>90</v>
      </c>
      <c r="T477" t="s">
        <v>90</v>
      </c>
      <c r="U477" t="s">
        <v>256</v>
      </c>
      <c r="V477" t="s">
        <v>90</v>
      </c>
    </row>
    <row r="478" spans="1:22" ht="20">
      <c r="A478" s="46">
        <v>37525</v>
      </c>
      <c r="B478" s="45" t="s">
        <v>974</v>
      </c>
      <c r="C478" s="45"/>
      <c r="D478" s="47">
        <v>2</v>
      </c>
      <c r="E478" s="47" t="s">
        <v>486</v>
      </c>
      <c r="F478" s="47" t="s">
        <v>445</v>
      </c>
      <c r="G478" s="47">
        <v>4</v>
      </c>
      <c r="H478" s="90" t="s">
        <v>580</v>
      </c>
      <c r="I478" s="48" t="s">
        <v>532</v>
      </c>
      <c r="J478" s="47" t="s">
        <v>458</v>
      </c>
      <c r="N478" t="s">
        <v>90</v>
      </c>
      <c r="O478" t="s">
        <v>90</v>
      </c>
      <c r="P478" t="s">
        <v>90</v>
      </c>
      <c r="Q478" t="s">
        <v>90</v>
      </c>
      <c r="R478" t="s">
        <v>90</v>
      </c>
      <c r="S478" t="s">
        <v>90</v>
      </c>
      <c r="T478" t="s">
        <v>90</v>
      </c>
      <c r="U478" t="s">
        <v>256</v>
      </c>
      <c r="V478" t="s">
        <v>90</v>
      </c>
    </row>
    <row r="479" spans="1:22" ht="20">
      <c r="A479" s="46">
        <v>37526</v>
      </c>
      <c r="B479" s="45" t="s">
        <v>975</v>
      </c>
      <c r="C479" s="45"/>
      <c r="D479" s="47">
        <v>2</v>
      </c>
      <c r="E479" s="47" t="s">
        <v>467</v>
      </c>
      <c r="F479" s="47" t="s">
        <v>445</v>
      </c>
      <c r="G479" s="47">
        <v>4</v>
      </c>
      <c r="H479" s="90" t="s">
        <v>581</v>
      </c>
      <c r="I479" s="48" t="s">
        <v>204</v>
      </c>
      <c r="J479" s="47" t="s">
        <v>460</v>
      </c>
      <c r="N479" t="s">
        <v>90</v>
      </c>
      <c r="O479" t="s">
        <v>90</v>
      </c>
      <c r="P479" t="s">
        <v>90</v>
      </c>
      <c r="Q479" t="s">
        <v>90</v>
      </c>
      <c r="R479" t="s">
        <v>90</v>
      </c>
      <c r="S479" t="s">
        <v>90</v>
      </c>
      <c r="T479" t="s">
        <v>90</v>
      </c>
      <c r="U479" t="s">
        <v>256</v>
      </c>
      <c r="V479" t="s">
        <v>90</v>
      </c>
    </row>
    <row r="480" spans="1:22" ht="20">
      <c r="A480" s="46">
        <v>37527</v>
      </c>
      <c r="B480" s="45" t="s">
        <v>976</v>
      </c>
      <c r="C480" s="45"/>
      <c r="D480" s="47">
        <v>2</v>
      </c>
      <c r="E480" s="47" t="s">
        <v>486</v>
      </c>
      <c r="F480" s="47" t="s">
        <v>445</v>
      </c>
      <c r="G480" s="47">
        <v>4</v>
      </c>
      <c r="H480" s="90" t="s">
        <v>582</v>
      </c>
      <c r="I480" s="48" t="s">
        <v>204</v>
      </c>
      <c r="J480" s="47" t="s">
        <v>460</v>
      </c>
      <c r="N480" t="s">
        <v>90</v>
      </c>
      <c r="O480" t="s">
        <v>90</v>
      </c>
      <c r="P480" t="s">
        <v>90</v>
      </c>
      <c r="Q480" t="s">
        <v>90</v>
      </c>
      <c r="R480" t="s">
        <v>90</v>
      </c>
      <c r="S480" t="s">
        <v>90</v>
      </c>
      <c r="T480" t="s">
        <v>90</v>
      </c>
      <c r="U480" t="s">
        <v>256</v>
      </c>
      <c r="V480" t="s">
        <v>90</v>
      </c>
    </row>
    <row r="481" spans="1:22" ht="20">
      <c r="A481" s="46">
        <v>37528</v>
      </c>
      <c r="B481" s="45" t="s">
        <v>977</v>
      </c>
      <c r="C481" s="45"/>
      <c r="D481" s="47">
        <v>2</v>
      </c>
      <c r="E481" s="47" t="s">
        <v>424</v>
      </c>
      <c r="F481" s="47" t="s">
        <v>466</v>
      </c>
      <c r="G481" s="47">
        <v>5</v>
      </c>
      <c r="H481" s="90" t="s">
        <v>583</v>
      </c>
      <c r="I481" s="48" t="s">
        <v>204</v>
      </c>
      <c r="J481" s="47" t="s">
        <v>458</v>
      </c>
      <c r="N481" t="s">
        <v>90</v>
      </c>
      <c r="O481" t="s">
        <v>90</v>
      </c>
      <c r="P481" t="s">
        <v>90</v>
      </c>
      <c r="Q481" t="s">
        <v>90</v>
      </c>
      <c r="R481" t="s">
        <v>90</v>
      </c>
      <c r="S481" t="s">
        <v>90</v>
      </c>
      <c r="T481" t="s">
        <v>90</v>
      </c>
      <c r="U481" t="s">
        <v>256</v>
      </c>
      <c r="V481" t="s">
        <v>90</v>
      </c>
    </row>
    <row r="482" spans="1:22" ht="20">
      <c r="A482" s="46">
        <v>37529</v>
      </c>
      <c r="B482" s="45" t="s">
        <v>978</v>
      </c>
      <c r="C482" s="45"/>
      <c r="D482" s="47">
        <v>2</v>
      </c>
      <c r="E482" s="47" t="s">
        <v>525</v>
      </c>
      <c r="F482" s="47" t="s">
        <v>466</v>
      </c>
      <c r="G482" s="47">
        <v>5</v>
      </c>
      <c r="H482" s="90" t="s">
        <v>584</v>
      </c>
      <c r="I482" s="48" t="s">
        <v>204</v>
      </c>
      <c r="J482" s="47" t="s">
        <v>458</v>
      </c>
      <c r="N482" t="s">
        <v>90</v>
      </c>
      <c r="O482" t="s">
        <v>90</v>
      </c>
      <c r="P482" t="s">
        <v>90</v>
      </c>
      <c r="Q482" t="s">
        <v>90</v>
      </c>
      <c r="R482" t="s">
        <v>90</v>
      </c>
      <c r="S482" t="s">
        <v>90</v>
      </c>
      <c r="T482" t="s">
        <v>90</v>
      </c>
      <c r="U482" t="s">
        <v>256</v>
      </c>
      <c r="V482" t="s">
        <v>90</v>
      </c>
    </row>
    <row r="483" spans="1:22" ht="20">
      <c r="A483" s="46">
        <v>37530</v>
      </c>
      <c r="B483" s="45" t="s">
        <v>979</v>
      </c>
      <c r="C483" s="45"/>
      <c r="D483" s="47">
        <v>2</v>
      </c>
      <c r="E483" s="47" t="s">
        <v>477</v>
      </c>
      <c r="F483" s="47" t="s">
        <v>466</v>
      </c>
      <c r="G483" s="47">
        <v>5</v>
      </c>
      <c r="H483" s="90" t="s">
        <v>585</v>
      </c>
      <c r="I483" s="48" t="s">
        <v>531</v>
      </c>
      <c r="J483" s="47" t="s">
        <v>460</v>
      </c>
      <c r="N483" t="s">
        <v>90</v>
      </c>
      <c r="O483" t="s">
        <v>90</v>
      </c>
      <c r="P483" t="s">
        <v>90</v>
      </c>
      <c r="Q483" t="s">
        <v>90</v>
      </c>
      <c r="R483" t="s">
        <v>90</v>
      </c>
      <c r="S483" t="s">
        <v>90</v>
      </c>
      <c r="T483" t="s">
        <v>90</v>
      </c>
      <c r="U483" t="s">
        <v>256</v>
      </c>
      <c r="V483" t="s">
        <v>90</v>
      </c>
    </row>
    <row r="484" spans="1:22" ht="20">
      <c r="A484" s="46">
        <v>37531</v>
      </c>
      <c r="B484" s="45" t="s">
        <v>980</v>
      </c>
      <c r="C484" s="45"/>
      <c r="D484" s="47">
        <v>2</v>
      </c>
      <c r="E484" s="47" t="s">
        <v>475</v>
      </c>
      <c r="F484" s="47" t="s">
        <v>533</v>
      </c>
      <c r="G484" s="47">
        <v>5</v>
      </c>
      <c r="H484" s="90" t="s">
        <v>586</v>
      </c>
      <c r="I484" s="48" t="s">
        <v>204</v>
      </c>
      <c r="J484" s="47" t="s">
        <v>460</v>
      </c>
      <c r="N484" t="s">
        <v>90</v>
      </c>
      <c r="O484" t="s">
        <v>90</v>
      </c>
      <c r="P484" t="s">
        <v>90</v>
      </c>
      <c r="Q484" t="s">
        <v>90</v>
      </c>
      <c r="R484" t="s">
        <v>90</v>
      </c>
      <c r="S484" t="s">
        <v>90</v>
      </c>
      <c r="T484" t="s">
        <v>90</v>
      </c>
      <c r="U484" t="s">
        <v>256</v>
      </c>
      <c r="V484" t="s">
        <v>90</v>
      </c>
    </row>
    <row r="485" spans="1:22" ht="20">
      <c r="A485" s="46">
        <v>37532</v>
      </c>
      <c r="B485" s="45" t="s">
        <v>981</v>
      </c>
      <c r="C485" s="45" t="s">
        <v>90</v>
      </c>
      <c r="D485" s="47">
        <v>2</v>
      </c>
      <c r="E485" s="47" t="s">
        <v>525</v>
      </c>
      <c r="F485" s="45" t="s">
        <v>498</v>
      </c>
      <c r="G485" s="45"/>
      <c r="H485" s="90" t="s">
        <v>587</v>
      </c>
      <c r="I485" s="48" t="s">
        <v>532</v>
      </c>
      <c r="J485" s="47" t="s">
        <v>458</v>
      </c>
      <c r="N485" t="s">
        <v>90</v>
      </c>
      <c r="O485" t="s">
        <v>90</v>
      </c>
      <c r="P485" t="s">
        <v>90</v>
      </c>
      <c r="Q485" t="s">
        <v>90</v>
      </c>
      <c r="R485" t="s">
        <v>90</v>
      </c>
      <c r="S485" t="s">
        <v>90</v>
      </c>
      <c r="T485" t="s">
        <v>90</v>
      </c>
      <c r="U485" t="s">
        <v>256</v>
      </c>
      <c r="V485" t="s">
        <v>90</v>
      </c>
    </row>
    <row r="486" spans="1:22" ht="20">
      <c r="A486" s="46">
        <v>37533</v>
      </c>
      <c r="B486" s="45" t="s">
        <v>982</v>
      </c>
      <c r="C486" s="45" t="s">
        <v>90</v>
      </c>
      <c r="D486" s="47">
        <v>2</v>
      </c>
      <c r="E486" s="47" t="s">
        <v>525</v>
      </c>
      <c r="F486" s="45" t="s">
        <v>498</v>
      </c>
      <c r="G486" s="45"/>
      <c r="H486" s="90" t="s">
        <v>588</v>
      </c>
      <c r="I486" s="48" t="s">
        <v>532</v>
      </c>
      <c r="J486" s="47" t="s">
        <v>458</v>
      </c>
      <c r="N486" t="s">
        <v>90</v>
      </c>
      <c r="O486" t="s">
        <v>90</v>
      </c>
      <c r="P486" t="s">
        <v>90</v>
      </c>
      <c r="Q486" t="s">
        <v>90</v>
      </c>
      <c r="R486" t="s">
        <v>90</v>
      </c>
      <c r="S486" t="s">
        <v>90</v>
      </c>
      <c r="T486" t="s">
        <v>90</v>
      </c>
      <c r="U486" t="s">
        <v>256</v>
      </c>
      <c r="V486" t="s">
        <v>90</v>
      </c>
    </row>
    <row r="487" spans="1:22" ht="20">
      <c r="A487" s="46">
        <v>37534</v>
      </c>
      <c r="B487" s="45" t="s">
        <v>983</v>
      </c>
      <c r="C487" s="45" t="s">
        <v>90</v>
      </c>
      <c r="D487" s="47">
        <v>2</v>
      </c>
      <c r="E487" s="47" t="s">
        <v>467</v>
      </c>
      <c r="F487" s="47" t="s">
        <v>468</v>
      </c>
      <c r="G487" s="47">
        <v>5</v>
      </c>
      <c r="H487" s="90" t="s">
        <v>589</v>
      </c>
      <c r="I487" s="48" t="s">
        <v>532</v>
      </c>
      <c r="J487" s="47" t="s">
        <v>458</v>
      </c>
      <c r="N487" t="s">
        <v>90</v>
      </c>
      <c r="O487" t="s">
        <v>90</v>
      </c>
      <c r="P487" t="s">
        <v>90</v>
      </c>
      <c r="Q487" t="s">
        <v>90</v>
      </c>
      <c r="R487" t="s">
        <v>90</v>
      </c>
      <c r="S487" t="s">
        <v>90</v>
      </c>
      <c r="T487" t="s">
        <v>90</v>
      </c>
      <c r="U487" t="s">
        <v>256</v>
      </c>
      <c r="V487" t="s">
        <v>90</v>
      </c>
    </row>
    <row r="488" spans="1:22" ht="20">
      <c r="A488" s="46">
        <v>37535</v>
      </c>
      <c r="B488" s="45" t="s">
        <v>984</v>
      </c>
      <c r="C488" s="45" t="s">
        <v>90</v>
      </c>
      <c r="D488" s="47">
        <v>2</v>
      </c>
      <c r="E488" s="47" t="s">
        <v>525</v>
      </c>
      <c r="F488" s="47" t="s">
        <v>468</v>
      </c>
      <c r="G488" s="47">
        <v>5</v>
      </c>
      <c r="H488" s="90" t="s">
        <v>590</v>
      </c>
      <c r="I488" s="48" t="s">
        <v>532</v>
      </c>
      <c r="J488" s="47" t="s">
        <v>458</v>
      </c>
      <c r="N488" t="s">
        <v>90</v>
      </c>
      <c r="O488" t="s">
        <v>90</v>
      </c>
      <c r="P488" t="s">
        <v>90</v>
      </c>
      <c r="Q488" t="s">
        <v>90</v>
      </c>
      <c r="R488" t="s">
        <v>90</v>
      </c>
      <c r="S488" t="s">
        <v>90</v>
      </c>
      <c r="T488" t="s">
        <v>90</v>
      </c>
      <c r="U488" t="s">
        <v>256</v>
      </c>
      <c r="V488" t="s">
        <v>90</v>
      </c>
    </row>
    <row r="489" spans="1:22" ht="20">
      <c r="A489" s="46">
        <v>37536</v>
      </c>
      <c r="B489" s="45" t="s">
        <v>985</v>
      </c>
      <c r="C489" s="45" t="s">
        <v>90</v>
      </c>
      <c r="D489" s="47">
        <v>2</v>
      </c>
      <c r="E489" s="47" t="s">
        <v>467</v>
      </c>
      <c r="F489" s="47" t="s">
        <v>468</v>
      </c>
      <c r="G489" s="47">
        <v>5</v>
      </c>
      <c r="H489" s="90" t="s">
        <v>591</v>
      </c>
      <c r="I489" s="48" t="s">
        <v>532</v>
      </c>
      <c r="J489" s="47" t="s">
        <v>460</v>
      </c>
      <c r="N489" t="s">
        <v>90</v>
      </c>
      <c r="O489" t="s">
        <v>90</v>
      </c>
      <c r="P489" t="s">
        <v>90</v>
      </c>
      <c r="Q489" t="s">
        <v>90</v>
      </c>
      <c r="R489" t="s">
        <v>90</v>
      </c>
      <c r="S489" t="s">
        <v>90</v>
      </c>
      <c r="T489" t="s">
        <v>90</v>
      </c>
      <c r="U489" t="s">
        <v>256</v>
      </c>
      <c r="V489" t="s">
        <v>90</v>
      </c>
    </row>
    <row r="490" spans="1:22" ht="20">
      <c r="A490" s="46">
        <v>37537</v>
      </c>
      <c r="B490" s="45" t="s">
        <v>986</v>
      </c>
      <c r="C490" s="45" t="s">
        <v>90</v>
      </c>
      <c r="D490" s="47">
        <v>2</v>
      </c>
      <c r="E490" s="47" t="s">
        <v>525</v>
      </c>
      <c r="F490" s="47" t="s">
        <v>468</v>
      </c>
      <c r="G490" s="47">
        <v>5</v>
      </c>
      <c r="H490" s="90" t="s">
        <v>592</v>
      </c>
      <c r="I490" s="48" t="s">
        <v>532</v>
      </c>
      <c r="J490" s="47" t="s">
        <v>460</v>
      </c>
      <c r="N490" t="s">
        <v>90</v>
      </c>
      <c r="O490" t="s">
        <v>90</v>
      </c>
      <c r="P490" t="s">
        <v>90</v>
      </c>
      <c r="Q490" t="s">
        <v>90</v>
      </c>
      <c r="R490" t="s">
        <v>90</v>
      </c>
      <c r="S490" t="s">
        <v>90</v>
      </c>
      <c r="T490" t="s">
        <v>90</v>
      </c>
      <c r="U490" t="s">
        <v>256</v>
      </c>
      <c r="V490" t="s">
        <v>90</v>
      </c>
    </row>
    <row r="491" spans="1:22" ht="20">
      <c r="A491" s="46">
        <v>37538</v>
      </c>
      <c r="B491" s="45" t="s">
        <v>987</v>
      </c>
      <c r="C491" s="45" t="s">
        <v>90</v>
      </c>
      <c r="D491" s="47">
        <v>2</v>
      </c>
      <c r="E491" s="47" t="s">
        <v>467</v>
      </c>
      <c r="F491" s="47" t="s">
        <v>468</v>
      </c>
      <c r="G491" s="47">
        <v>4</v>
      </c>
      <c r="H491" s="90" t="s">
        <v>593</v>
      </c>
      <c r="I491" s="48" t="s">
        <v>532</v>
      </c>
      <c r="J491" s="47" t="s">
        <v>458</v>
      </c>
      <c r="N491" t="s">
        <v>90</v>
      </c>
      <c r="O491" t="s">
        <v>90</v>
      </c>
      <c r="P491" t="s">
        <v>90</v>
      </c>
      <c r="Q491" t="s">
        <v>90</v>
      </c>
      <c r="R491" t="s">
        <v>90</v>
      </c>
      <c r="S491" t="s">
        <v>90</v>
      </c>
      <c r="T491" t="s">
        <v>90</v>
      </c>
      <c r="U491" t="s">
        <v>256</v>
      </c>
      <c r="V491" t="s">
        <v>90</v>
      </c>
    </row>
    <row r="492" spans="1:22" ht="20">
      <c r="A492" s="46">
        <v>37539</v>
      </c>
      <c r="B492" s="45" t="s">
        <v>988</v>
      </c>
      <c r="C492" s="45" t="s">
        <v>90</v>
      </c>
      <c r="D492" s="47">
        <v>2</v>
      </c>
      <c r="E492" s="47" t="s">
        <v>525</v>
      </c>
      <c r="F492" s="47" t="s">
        <v>468</v>
      </c>
      <c r="G492" s="47">
        <v>4</v>
      </c>
      <c r="H492" s="90" t="s">
        <v>594</v>
      </c>
      <c r="I492" s="48" t="s">
        <v>532</v>
      </c>
      <c r="J492" s="47" t="s">
        <v>458</v>
      </c>
      <c r="N492" t="s">
        <v>90</v>
      </c>
      <c r="O492" t="s">
        <v>90</v>
      </c>
      <c r="P492" t="s">
        <v>90</v>
      </c>
      <c r="Q492" t="s">
        <v>90</v>
      </c>
      <c r="R492" t="s">
        <v>90</v>
      </c>
      <c r="S492" t="s">
        <v>90</v>
      </c>
      <c r="T492" t="s">
        <v>90</v>
      </c>
      <c r="U492" t="s">
        <v>256</v>
      </c>
      <c r="V492" t="s">
        <v>90</v>
      </c>
    </row>
    <row r="493" spans="1:22" ht="20">
      <c r="A493" s="46">
        <v>37540</v>
      </c>
      <c r="B493" s="45" t="s">
        <v>989</v>
      </c>
      <c r="C493" s="45" t="s">
        <v>90</v>
      </c>
      <c r="D493" s="47">
        <v>2</v>
      </c>
      <c r="E493" s="47" t="s">
        <v>467</v>
      </c>
      <c r="F493" s="47" t="s">
        <v>468</v>
      </c>
      <c r="G493" s="47">
        <v>4</v>
      </c>
      <c r="H493" s="90" t="s">
        <v>595</v>
      </c>
      <c r="I493" s="48" t="s">
        <v>532</v>
      </c>
      <c r="J493" s="47" t="s">
        <v>460</v>
      </c>
      <c r="N493" t="s">
        <v>90</v>
      </c>
      <c r="O493" t="s">
        <v>90</v>
      </c>
      <c r="P493" t="s">
        <v>90</v>
      </c>
      <c r="Q493" t="s">
        <v>90</v>
      </c>
      <c r="R493" t="s">
        <v>90</v>
      </c>
      <c r="S493" t="s">
        <v>90</v>
      </c>
      <c r="T493" t="s">
        <v>90</v>
      </c>
      <c r="U493" t="s">
        <v>256</v>
      </c>
      <c r="V493" t="s">
        <v>90</v>
      </c>
    </row>
    <row r="494" spans="1:22" ht="20">
      <c r="A494" s="46">
        <v>37541</v>
      </c>
      <c r="B494" s="45" t="s">
        <v>990</v>
      </c>
      <c r="C494" s="45" t="s">
        <v>90</v>
      </c>
      <c r="D494" s="47">
        <v>2</v>
      </c>
      <c r="E494" s="47" t="s">
        <v>525</v>
      </c>
      <c r="F494" s="47" t="s">
        <v>468</v>
      </c>
      <c r="G494" s="47">
        <v>4</v>
      </c>
      <c r="H494" s="90" t="s">
        <v>596</v>
      </c>
      <c r="I494" s="48" t="s">
        <v>532</v>
      </c>
      <c r="J494" s="47" t="s">
        <v>460</v>
      </c>
      <c r="N494" t="s">
        <v>90</v>
      </c>
      <c r="O494" t="s">
        <v>90</v>
      </c>
      <c r="P494" t="s">
        <v>90</v>
      </c>
      <c r="Q494" t="s">
        <v>90</v>
      </c>
      <c r="R494" t="s">
        <v>90</v>
      </c>
      <c r="S494" t="s">
        <v>90</v>
      </c>
      <c r="T494" t="s">
        <v>90</v>
      </c>
      <c r="U494" t="s">
        <v>256</v>
      </c>
      <c r="V494" t="s">
        <v>90</v>
      </c>
    </row>
    <row r="495" spans="1:22" ht="20">
      <c r="A495" s="46">
        <v>37542</v>
      </c>
      <c r="B495" s="45" t="s">
        <v>991</v>
      </c>
      <c r="C495" s="45" t="s">
        <v>90</v>
      </c>
      <c r="D495" s="47">
        <v>2</v>
      </c>
      <c r="E495" s="47" t="s">
        <v>467</v>
      </c>
      <c r="F495" s="47" t="s">
        <v>466</v>
      </c>
      <c r="G495" s="47">
        <v>4</v>
      </c>
      <c r="H495" s="90" t="s">
        <v>597</v>
      </c>
      <c r="I495" s="48" t="s">
        <v>532</v>
      </c>
      <c r="J495" s="47" t="s">
        <v>458</v>
      </c>
      <c r="N495" t="s">
        <v>90</v>
      </c>
      <c r="O495" t="s">
        <v>90</v>
      </c>
      <c r="P495" t="s">
        <v>90</v>
      </c>
      <c r="Q495" t="s">
        <v>90</v>
      </c>
      <c r="R495" t="s">
        <v>90</v>
      </c>
      <c r="S495" t="s">
        <v>90</v>
      </c>
      <c r="T495" t="s">
        <v>90</v>
      </c>
      <c r="U495" t="s">
        <v>256</v>
      </c>
      <c r="V495" t="s">
        <v>90</v>
      </c>
    </row>
    <row r="496" spans="1:22" ht="20">
      <c r="A496" s="46">
        <v>37543</v>
      </c>
      <c r="B496" s="45" t="s">
        <v>992</v>
      </c>
      <c r="C496" s="45" t="s">
        <v>90</v>
      </c>
      <c r="D496" s="47">
        <v>2</v>
      </c>
      <c r="E496" s="47" t="s">
        <v>525</v>
      </c>
      <c r="F496" s="47" t="s">
        <v>466</v>
      </c>
      <c r="G496" s="47">
        <v>4</v>
      </c>
      <c r="H496" s="90" t="s">
        <v>598</v>
      </c>
      <c r="I496" s="48" t="s">
        <v>532</v>
      </c>
      <c r="J496" s="47" t="s">
        <v>458</v>
      </c>
      <c r="N496" t="s">
        <v>90</v>
      </c>
      <c r="O496" t="s">
        <v>90</v>
      </c>
      <c r="P496" t="s">
        <v>90</v>
      </c>
      <c r="Q496" t="s">
        <v>90</v>
      </c>
      <c r="R496" t="s">
        <v>90</v>
      </c>
      <c r="S496" t="s">
        <v>90</v>
      </c>
      <c r="T496" t="s">
        <v>90</v>
      </c>
      <c r="U496" t="s">
        <v>256</v>
      </c>
      <c r="V496" t="s">
        <v>90</v>
      </c>
    </row>
    <row r="497" spans="1:22" ht="20">
      <c r="A497" s="46">
        <v>37544</v>
      </c>
      <c r="B497" s="45" t="s">
        <v>993</v>
      </c>
      <c r="C497" s="45" t="s">
        <v>90</v>
      </c>
      <c r="D497" s="47">
        <v>2</v>
      </c>
      <c r="E497" s="47" t="s">
        <v>467</v>
      </c>
      <c r="F497" s="47" t="s">
        <v>466</v>
      </c>
      <c r="G497" s="47">
        <v>4</v>
      </c>
      <c r="H497" s="90" t="s">
        <v>599</v>
      </c>
      <c r="I497" s="48" t="s">
        <v>532</v>
      </c>
      <c r="J497" s="47" t="s">
        <v>460</v>
      </c>
      <c r="N497" t="s">
        <v>90</v>
      </c>
      <c r="O497" t="s">
        <v>90</v>
      </c>
      <c r="P497" t="s">
        <v>90</v>
      </c>
      <c r="Q497" t="s">
        <v>90</v>
      </c>
      <c r="R497" t="s">
        <v>90</v>
      </c>
      <c r="S497" t="s">
        <v>90</v>
      </c>
      <c r="T497" t="s">
        <v>90</v>
      </c>
      <c r="U497" t="s">
        <v>256</v>
      </c>
      <c r="V497" t="s">
        <v>90</v>
      </c>
    </row>
    <row r="498" spans="1:22" ht="20">
      <c r="A498" s="46">
        <v>37545</v>
      </c>
      <c r="B498" s="45" t="s">
        <v>994</v>
      </c>
      <c r="C498" s="45" t="s">
        <v>90</v>
      </c>
      <c r="D498" s="47">
        <v>2</v>
      </c>
      <c r="E498" s="47" t="s">
        <v>525</v>
      </c>
      <c r="F498" s="47" t="s">
        <v>466</v>
      </c>
      <c r="G498" s="47">
        <v>4</v>
      </c>
      <c r="H498" s="90" t="s">
        <v>600</v>
      </c>
      <c r="I498" s="48" t="s">
        <v>532</v>
      </c>
      <c r="J498" s="47" t="s">
        <v>460</v>
      </c>
      <c r="N498" t="s">
        <v>90</v>
      </c>
      <c r="O498" t="s">
        <v>90</v>
      </c>
      <c r="P498" t="s">
        <v>90</v>
      </c>
      <c r="Q498" t="s">
        <v>90</v>
      </c>
      <c r="R498" t="s">
        <v>90</v>
      </c>
      <c r="S498" t="s">
        <v>90</v>
      </c>
      <c r="T498" t="s">
        <v>90</v>
      </c>
      <c r="U498" t="s">
        <v>256</v>
      </c>
      <c r="V498" t="s">
        <v>90</v>
      </c>
    </row>
    <row r="499" spans="1:22" ht="20">
      <c r="A499" s="46">
        <v>37546</v>
      </c>
      <c r="B499" s="45" t="s">
        <v>995</v>
      </c>
      <c r="C499" s="45" t="s">
        <v>90</v>
      </c>
      <c r="D499" s="47">
        <v>2</v>
      </c>
      <c r="E499" s="47" t="s">
        <v>467</v>
      </c>
      <c r="F499" s="47" t="s">
        <v>468</v>
      </c>
      <c r="G499" s="47">
        <v>4</v>
      </c>
      <c r="H499" s="90" t="s">
        <v>601</v>
      </c>
      <c r="I499" s="48" t="s">
        <v>532</v>
      </c>
      <c r="J499" s="47" t="s">
        <v>458</v>
      </c>
      <c r="N499" t="s">
        <v>90</v>
      </c>
      <c r="O499" t="s">
        <v>90</v>
      </c>
      <c r="P499" t="s">
        <v>90</v>
      </c>
      <c r="Q499" t="s">
        <v>90</v>
      </c>
      <c r="R499" t="s">
        <v>90</v>
      </c>
      <c r="S499" t="s">
        <v>90</v>
      </c>
      <c r="T499" t="s">
        <v>90</v>
      </c>
      <c r="U499" t="s">
        <v>256</v>
      </c>
      <c r="V499" t="s">
        <v>90</v>
      </c>
    </row>
    <row r="500" spans="1:22" ht="20">
      <c r="A500" s="46">
        <v>37547</v>
      </c>
      <c r="B500" s="45" t="s">
        <v>996</v>
      </c>
      <c r="C500" s="45" t="s">
        <v>90</v>
      </c>
      <c r="D500" s="47">
        <v>2</v>
      </c>
      <c r="E500" s="47" t="s">
        <v>525</v>
      </c>
      <c r="F500" s="47" t="s">
        <v>468</v>
      </c>
      <c r="G500" s="47">
        <v>4</v>
      </c>
      <c r="H500" s="90" t="s">
        <v>602</v>
      </c>
      <c r="I500" s="48" t="s">
        <v>532</v>
      </c>
      <c r="J500" s="47" t="s">
        <v>458</v>
      </c>
      <c r="N500" t="s">
        <v>90</v>
      </c>
      <c r="O500" t="s">
        <v>90</v>
      </c>
      <c r="P500" t="s">
        <v>90</v>
      </c>
      <c r="Q500" t="s">
        <v>90</v>
      </c>
      <c r="R500" t="s">
        <v>90</v>
      </c>
      <c r="S500" t="s">
        <v>90</v>
      </c>
      <c r="T500" t="s">
        <v>90</v>
      </c>
      <c r="U500" t="s">
        <v>256</v>
      </c>
      <c r="V500" t="s">
        <v>90</v>
      </c>
    </row>
    <row r="501" spans="1:22" ht="20">
      <c r="A501" s="46">
        <v>37548</v>
      </c>
      <c r="B501" s="45" t="s">
        <v>997</v>
      </c>
      <c r="C501" s="45" t="s">
        <v>90</v>
      </c>
      <c r="D501" s="47">
        <v>2</v>
      </c>
      <c r="E501" s="47" t="s">
        <v>467</v>
      </c>
      <c r="F501" s="47" t="s">
        <v>468</v>
      </c>
      <c r="G501" s="47">
        <v>4</v>
      </c>
      <c r="H501" s="90" t="s">
        <v>620</v>
      </c>
      <c r="I501" s="48" t="s">
        <v>532</v>
      </c>
      <c r="J501" s="47" t="s">
        <v>460</v>
      </c>
      <c r="N501" t="s">
        <v>90</v>
      </c>
      <c r="O501" t="s">
        <v>90</v>
      </c>
      <c r="P501" t="s">
        <v>90</v>
      </c>
      <c r="Q501" t="s">
        <v>90</v>
      </c>
      <c r="R501" t="s">
        <v>90</v>
      </c>
      <c r="S501" t="s">
        <v>90</v>
      </c>
      <c r="T501" t="s">
        <v>90</v>
      </c>
      <c r="U501" t="s">
        <v>256</v>
      </c>
      <c r="V501" t="s">
        <v>90</v>
      </c>
    </row>
    <row r="502" spans="1:22" ht="20">
      <c r="A502" s="46">
        <v>37549</v>
      </c>
      <c r="B502" s="45" t="s">
        <v>998</v>
      </c>
      <c r="C502" s="45" t="s">
        <v>90</v>
      </c>
      <c r="D502" s="47">
        <v>2</v>
      </c>
      <c r="E502" s="47" t="s">
        <v>525</v>
      </c>
      <c r="F502" s="47" t="s">
        <v>468</v>
      </c>
      <c r="G502" s="47">
        <v>4</v>
      </c>
      <c r="H502" s="90" t="s">
        <v>603</v>
      </c>
      <c r="I502" s="48" t="s">
        <v>532</v>
      </c>
      <c r="J502" s="47" t="s">
        <v>460</v>
      </c>
      <c r="N502" t="s">
        <v>90</v>
      </c>
      <c r="O502" t="s">
        <v>90</v>
      </c>
      <c r="P502" t="s">
        <v>90</v>
      </c>
      <c r="Q502" t="s">
        <v>90</v>
      </c>
      <c r="R502" t="s">
        <v>90</v>
      </c>
      <c r="S502" t="s">
        <v>90</v>
      </c>
      <c r="T502" t="s">
        <v>90</v>
      </c>
      <c r="U502" t="s">
        <v>256</v>
      </c>
      <c r="V502" t="s">
        <v>90</v>
      </c>
    </row>
    <row r="503" spans="1:22" ht="20">
      <c r="A503" s="46">
        <v>37550</v>
      </c>
      <c r="B503" s="45" t="s">
        <v>999</v>
      </c>
      <c r="C503" s="45" t="s">
        <v>90</v>
      </c>
      <c r="D503" s="47">
        <v>2</v>
      </c>
      <c r="E503" s="47" t="s">
        <v>467</v>
      </c>
      <c r="F503" s="47" t="s">
        <v>463</v>
      </c>
      <c r="G503" s="47">
        <v>4</v>
      </c>
      <c r="H503" s="90" t="s">
        <v>604</v>
      </c>
      <c r="I503" s="48" t="s">
        <v>532</v>
      </c>
      <c r="J503" s="47" t="s">
        <v>460</v>
      </c>
      <c r="N503" t="s">
        <v>90</v>
      </c>
      <c r="O503" t="s">
        <v>90</v>
      </c>
      <c r="P503" t="s">
        <v>90</v>
      </c>
      <c r="Q503" t="s">
        <v>90</v>
      </c>
      <c r="R503" t="s">
        <v>90</v>
      </c>
      <c r="S503" t="s">
        <v>90</v>
      </c>
      <c r="T503" t="s">
        <v>90</v>
      </c>
      <c r="U503" t="s">
        <v>256</v>
      </c>
      <c r="V503" t="s">
        <v>90</v>
      </c>
    </row>
    <row r="504" spans="1:22" ht="20">
      <c r="A504" s="46">
        <v>37551</v>
      </c>
      <c r="B504" s="45" t="s">
        <v>1000</v>
      </c>
      <c r="C504" s="45" t="s">
        <v>90</v>
      </c>
      <c r="D504" s="47">
        <v>2</v>
      </c>
      <c r="E504" s="47" t="s">
        <v>486</v>
      </c>
      <c r="F504" s="47" t="s">
        <v>463</v>
      </c>
      <c r="G504" s="47">
        <v>4</v>
      </c>
      <c r="H504" s="90" t="s">
        <v>605</v>
      </c>
      <c r="I504" s="48" t="s">
        <v>532</v>
      </c>
      <c r="J504" s="47" t="s">
        <v>460</v>
      </c>
      <c r="N504" t="s">
        <v>90</v>
      </c>
      <c r="O504" t="s">
        <v>90</v>
      </c>
      <c r="P504" t="s">
        <v>90</v>
      </c>
      <c r="Q504" t="s">
        <v>90</v>
      </c>
      <c r="R504" t="s">
        <v>90</v>
      </c>
      <c r="S504" t="s">
        <v>90</v>
      </c>
      <c r="T504" t="s">
        <v>90</v>
      </c>
      <c r="U504" t="s">
        <v>256</v>
      </c>
      <c r="V504" t="s">
        <v>90</v>
      </c>
    </row>
    <row r="505" spans="1:22" ht="20">
      <c r="A505" s="46">
        <v>37552</v>
      </c>
      <c r="B505" s="45" t="s">
        <v>1001</v>
      </c>
      <c r="C505" s="45" t="s">
        <v>90</v>
      </c>
      <c r="D505" s="47">
        <v>2</v>
      </c>
      <c r="E505" s="47" t="s">
        <v>467</v>
      </c>
      <c r="F505" s="47" t="s">
        <v>463</v>
      </c>
      <c r="G505" s="47">
        <v>4</v>
      </c>
      <c r="H505" s="90" t="s">
        <v>606</v>
      </c>
      <c r="I505" s="48" t="s">
        <v>532</v>
      </c>
      <c r="J505" s="47" t="s">
        <v>460</v>
      </c>
      <c r="N505" t="s">
        <v>90</v>
      </c>
      <c r="O505" t="s">
        <v>90</v>
      </c>
      <c r="P505" t="s">
        <v>90</v>
      </c>
      <c r="Q505" t="s">
        <v>90</v>
      </c>
      <c r="R505" t="s">
        <v>90</v>
      </c>
      <c r="S505" t="s">
        <v>90</v>
      </c>
      <c r="T505" t="s">
        <v>90</v>
      </c>
      <c r="U505" t="s">
        <v>256</v>
      </c>
      <c r="V505" t="s">
        <v>90</v>
      </c>
    </row>
    <row r="506" spans="1:22" ht="20">
      <c r="A506" s="46">
        <v>37553</v>
      </c>
      <c r="B506" s="45" t="s">
        <v>1002</v>
      </c>
      <c r="C506" s="45" t="s">
        <v>90</v>
      </c>
      <c r="D506" s="47">
        <v>2</v>
      </c>
      <c r="E506" s="47" t="s">
        <v>486</v>
      </c>
      <c r="F506" s="47" t="s">
        <v>463</v>
      </c>
      <c r="G506" s="47">
        <v>4</v>
      </c>
      <c r="H506" s="90" t="s">
        <v>607</v>
      </c>
      <c r="I506" s="48" t="s">
        <v>532</v>
      </c>
      <c r="J506" s="47" t="s">
        <v>460</v>
      </c>
      <c r="N506" t="s">
        <v>90</v>
      </c>
      <c r="O506" t="s">
        <v>90</v>
      </c>
      <c r="P506" t="s">
        <v>90</v>
      </c>
      <c r="Q506" t="s">
        <v>90</v>
      </c>
      <c r="R506" t="s">
        <v>90</v>
      </c>
      <c r="S506" t="s">
        <v>90</v>
      </c>
      <c r="T506" t="s">
        <v>90</v>
      </c>
      <c r="U506" t="s">
        <v>256</v>
      </c>
      <c r="V506" t="s">
        <v>90</v>
      </c>
    </row>
    <row r="507" spans="1:22" ht="20">
      <c r="A507" s="46">
        <v>37554</v>
      </c>
      <c r="B507" s="45" t="s">
        <v>1003</v>
      </c>
      <c r="C507" s="45" t="s">
        <v>90</v>
      </c>
      <c r="D507" s="47">
        <v>2</v>
      </c>
      <c r="E507" s="47" t="s">
        <v>467</v>
      </c>
      <c r="F507" s="47" t="s">
        <v>463</v>
      </c>
      <c r="G507" s="47">
        <v>4</v>
      </c>
      <c r="H507" s="90" t="s">
        <v>608</v>
      </c>
      <c r="I507" s="48" t="s">
        <v>532</v>
      </c>
      <c r="J507" s="47" t="s">
        <v>458</v>
      </c>
      <c r="N507" t="s">
        <v>90</v>
      </c>
      <c r="O507" t="s">
        <v>90</v>
      </c>
      <c r="P507" t="s">
        <v>90</v>
      </c>
      <c r="Q507" t="s">
        <v>90</v>
      </c>
      <c r="R507" t="s">
        <v>90</v>
      </c>
      <c r="S507" t="s">
        <v>90</v>
      </c>
      <c r="T507" t="s">
        <v>90</v>
      </c>
      <c r="U507" t="s">
        <v>256</v>
      </c>
      <c r="V507" t="s">
        <v>90</v>
      </c>
    </row>
    <row r="508" spans="1:22" ht="20">
      <c r="A508" s="46">
        <v>37555</v>
      </c>
      <c r="B508" s="45" t="s">
        <v>1004</v>
      </c>
      <c r="C508" s="45" t="s">
        <v>90</v>
      </c>
      <c r="D508" s="47">
        <v>2</v>
      </c>
      <c r="E508" s="47" t="s">
        <v>525</v>
      </c>
      <c r="F508" s="47" t="s">
        <v>435</v>
      </c>
      <c r="G508" s="47">
        <v>4</v>
      </c>
      <c r="H508" s="90" t="s">
        <v>609</v>
      </c>
      <c r="I508" s="48" t="s">
        <v>532</v>
      </c>
      <c r="J508" s="47" t="s">
        <v>458</v>
      </c>
      <c r="N508" t="s">
        <v>90</v>
      </c>
      <c r="O508" t="s">
        <v>90</v>
      </c>
      <c r="P508" t="s">
        <v>90</v>
      </c>
      <c r="Q508" t="s">
        <v>90</v>
      </c>
      <c r="R508" t="s">
        <v>90</v>
      </c>
      <c r="S508" t="s">
        <v>90</v>
      </c>
      <c r="T508" t="s">
        <v>90</v>
      </c>
      <c r="U508" t="s">
        <v>256</v>
      </c>
      <c r="V508" t="s">
        <v>90</v>
      </c>
    </row>
    <row r="509" spans="1:22" ht="20">
      <c r="A509" s="46">
        <v>37556</v>
      </c>
      <c r="B509" s="45" t="s">
        <v>1005</v>
      </c>
      <c r="C509" s="45" t="s">
        <v>90</v>
      </c>
      <c r="D509" s="47">
        <v>2</v>
      </c>
      <c r="E509" s="47" t="s">
        <v>467</v>
      </c>
      <c r="F509" s="47" t="s">
        <v>435</v>
      </c>
      <c r="G509" s="47">
        <v>4</v>
      </c>
      <c r="H509" s="90" t="s">
        <v>610</v>
      </c>
      <c r="I509" s="48" t="s">
        <v>532</v>
      </c>
      <c r="J509" s="47" t="s">
        <v>460</v>
      </c>
      <c r="N509" t="s">
        <v>90</v>
      </c>
      <c r="O509" t="s">
        <v>90</v>
      </c>
      <c r="P509" t="s">
        <v>90</v>
      </c>
      <c r="Q509" t="s">
        <v>90</v>
      </c>
      <c r="R509" t="s">
        <v>90</v>
      </c>
      <c r="S509" t="s">
        <v>90</v>
      </c>
      <c r="T509" t="s">
        <v>90</v>
      </c>
      <c r="U509" t="s">
        <v>256</v>
      </c>
      <c r="V509" t="s">
        <v>90</v>
      </c>
    </row>
    <row r="510" spans="1:22" ht="20">
      <c r="A510" s="46">
        <v>37557</v>
      </c>
      <c r="B510" s="45" t="s">
        <v>1006</v>
      </c>
      <c r="C510" s="45" t="s">
        <v>90</v>
      </c>
      <c r="D510" s="47">
        <v>2</v>
      </c>
      <c r="E510" s="47" t="s">
        <v>525</v>
      </c>
      <c r="F510" s="47" t="s">
        <v>435</v>
      </c>
      <c r="G510" s="47">
        <v>4</v>
      </c>
      <c r="H510" s="90" t="s">
        <v>611</v>
      </c>
      <c r="I510" s="48" t="s">
        <v>532</v>
      </c>
      <c r="J510" s="47" t="s">
        <v>460</v>
      </c>
      <c r="N510" t="s">
        <v>90</v>
      </c>
      <c r="O510" t="s">
        <v>90</v>
      </c>
      <c r="P510" t="s">
        <v>90</v>
      </c>
      <c r="Q510" t="s">
        <v>90</v>
      </c>
      <c r="R510" t="s">
        <v>90</v>
      </c>
      <c r="S510" t="s">
        <v>90</v>
      </c>
      <c r="T510" t="s">
        <v>90</v>
      </c>
      <c r="U510" t="s">
        <v>256</v>
      </c>
      <c r="V510" t="s">
        <v>90</v>
      </c>
    </row>
    <row r="511" spans="1:22" ht="20">
      <c r="A511" s="54">
        <v>38081</v>
      </c>
      <c r="B511" s="55" t="s">
        <v>1007</v>
      </c>
      <c r="C511" s="55" t="s">
        <v>90</v>
      </c>
      <c r="D511" s="56">
        <v>2</v>
      </c>
      <c r="E511" s="56" t="s">
        <v>424</v>
      </c>
      <c r="F511" s="47" t="s">
        <v>479</v>
      </c>
      <c r="G511" s="47">
        <v>4</v>
      </c>
      <c r="H511" s="90" t="s">
        <v>612</v>
      </c>
      <c r="I511" s="65" t="s">
        <v>532</v>
      </c>
      <c r="J511" s="56" t="s">
        <v>458</v>
      </c>
      <c r="N511" t="s">
        <v>90</v>
      </c>
      <c r="O511" t="s">
        <v>90</v>
      </c>
      <c r="P511" t="s">
        <v>90</v>
      </c>
      <c r="Q511" t="s">
        <v>90</v>
      </c>
      <c r="R511" t="s">
        <v>90</v>
      </c>
      <c r="S511" t="s">
        <v>90</v>
      </c>
      <c r="T511" t="s">
        <v>90</v>
      </c>
      <c r="U511" t="s">
        <v>256</v>
      </c>
      <c r="V511" t="s">
        <v>90</v>
      </c>
    </row>
    <row r="512" spans="1:22" ht="20">
      <c r="A512" s="54">
        <v>38082</v>
      </c>
      <c r="B512" s="55" t="s">
        <v>1008</v>
      </c>
      <c r="C512" s="55"/>
      <c r="D512" s="56">
        <v>2</v>
      </c>
      <c r="E512" s="56" t="s">
        <v>525</v>
      </c>
      <c r="F512" s="47" t="s">
        <v>435</v>
      </c>
      <c r="G512" s="47">
        <v>4</v>
      </c>
      <c r="H512" s="90" t="s">
        <v>613</v>
      </c>
      <c r="I512" s="65" t="s">
        <v>532</v>
      </c>
      <c r="J512" s="56" t="s">
        <v>458</v>
      </c>
      <c r="N512" t="s">
        <v>90</v>
      </c>
      <c r="O512" t="s">
        <v>90</v>
      </c>
      <c r="P512" t="s">
        <v>90</v>
      </c>
      <c r="Q512" t="s">
        <v>90</v>
      </c>
      <c r="R512" t="s">
        <v>90</v>
      </c>
      <c r="S512" t="s">
        <v>90</v>
      </c>
      <c r="T512" t="s">
        <v>90</v>
      </c>
      <c r="U512" t="s">
        <v>256</v>
      </c>
      <c r="V512" t="s">
        <v>90</v>
      </c>
    </row>
    <row r="513" spans="1:26" ht="20">
      <c r="A513" s="54">
        <v>38083</v>
      </c>
      <c r="B513" s="55" t="s">
        <v>1009</v>
      </c>
      <c r="C513" s="55" t="s">
        <v>90</v>
      </c>
      <c r="D513" s="56">
        <v>2</v>
      </c>
      <c r="E513" s="56" t="s">
        <v>467</v>
      </c>
      <c r="F513" s="47" t="s">
        <v>479</v>
      </c>
      <c r="G513" s="47">
        <v>4</v>
      </c>
      <c r="H513" s="90" t="s">
        <v>614</v>
      </c>
      <c r="I513" s="65" t="s">
        <v>532</v>
      </c>
      <c r="J513" s="56" t="s">
        <v>460</v>
      </c>
      <c r="N513" t="s">
        <v>90</v>
      </c>
      <c r="O513" t="s">
        <v>90</v>
      </c>
      <c r="P513" t="s">
        <v>90</v>
      </c>
      <c r="Q513" t="s">
        <v>90</v>
      </c>
      <c r="R513" t="s">
        <v>90</v>
      </c>
      <c r="S513" t="s">
        <v>90</v>
      </c>
      <c r="T513" t="s">
        <v>90</v>
      </c>
      <c r="U513" t="s">
        <v>256</v>
      </c>
      <c r="V513" t="s">
        <v>90</v>
      </c>
    </row>
    <row r="514" spans="1:26" ht="20">
      <c r="A514" s="54">
        <v>38084</v>
      </c>
      <c r="B514" s="55" t="s">
        <v>1010</v>
      </c>
      <c r="C514" s="55" t="s">
        <v>90</v>
      </c>
      <c r="D514" s="56">
        <v>2</v>
      </c>
      <c r="E514" s="56" t="s">
        <v>525</v>
      </c>
      <c r="F514" s="47" t="s">
        <v>435</v>
      </c>
      <c r="G514" s="47">
        <v>4</v>
      </c>
      <c r="H514" s="90" t="s">
        <v>615</v>
      </c>
      <c r="I514" s="65" t="s">
        <v>532</v>
      </c>
      <c r="J514" s="56" t="s">
        <v>460</v>
      </c>
      <c r="N514" t="s">
        <v>90</v>
      </c>
      <c r="O514" t="s">
        <v>90</v>
      </c>
      <c r="P514" t="s">
        <v>90</v>
      </c>
      <c r="Q514" t="s">
        <v>90</v>
      </c>
      <c r="R514" t="s">
        <v>90</v>
      </c>
      <c r="S514" t="s">
        <v>90</v>
      </c>
      <c r="T514" t="s">
        <v>90</v>
      </c>
      <c r="U514" t="s">
        <v>256</v>
      </c>
      <c r="V514" t="s">
        <v>90</v>
      </c>
    </row>
    <row r="515" spans="1:26" ht="20">
      <c r="A515" s="46">
        <v>38019</v>
      </c>
      <c r="B515" s="45" t="s">
        <v>673</v>
      </c>
      <c r="C515" s="45"/>
      <c r="D515" s="47">
        <v>4</v>
      </c>
      <c r="E515" s="47"/>
      <c r="F515" s="59" t="s">
        <v>498</v>
      </c>
      <c r="G515" s="47"/>
      <c r="H515" s="90" t="s">
        <v>616</v>
      </c>
      <c r="I515" s="48">
        <v>4</v>
      </c>
      <c r="J515" s="47" t="s">
        <v>458</v>
      </c>
      <c r="N515" t="s">
        <v>90</v>
      </c>
      <c r="O515" t="s">
        <v>256</v>
      </c>
      <c r="P515" t="s">
        <v>90</v>
      </c>
      <c r="Q515" t="s">
        <v>90</v>
      </c>
      <c r="R515" t="s">
        <v>90</v>
      </c>
      <c r="S515" t="s">
        <v>90</v>
      </c>
      <c r="T515" t="s">
        <v>256</v>
      </c>
      <c r="U515" t="s">
        <v>256</v>
      </c>
      <c r="V515" t="s">
        <v>256</v>
      </c>
    </row>
    <row r="516" spans="1:26" ht="20">
      <c r="A516" s="46">
        <v>37558</v>
      </c>
      <c r="B516" s="45" t="s">
        <v>1011</v>
      </c>
      <c r="C516" s="45" t="s">
        <v>90</v>
      </c>
      <c r="D516" s="47">
        <v>2</v>
      </c>
      <c r="E516" s="47" t="s">
        <v>47</v>
      </c>
      <c r="F516" s="47" t="s">
        <v>418</v>
      </c>
      <c r="G516" s="47" t="s">
        <v>534</v>
      </c>
      <c r="H516" s="90" t="s">
        <v>617</v>
      </c>
      <c r="I516" s="48">
        <v>1</v>
      </c>
      <c r="J516" s="47" t="s">
        <v>458</v>
      </c>
      <c r="N516" t="s">
        <v>90</v>
      </c>
      <c r="O516" t="s">
        <v>90</v>
      </c>
      <c r="P516" t="s">
        <v>90</v>
      </c>
      <c r="Q516" t="s">
        <v>90</v>
      </c>
      <c r="R516" t="s">
        <v>90</v>
      </c>
      <c r="S516" t="s">
        <v>90</v>
      </c>
      <c r="T516" t="s">
        <v>90</v>
      </c>
      <c r="U516" t="s">
        <v>256</v>
      </c>
      <c r="V516" t="s">
        <v>90</v>
      </c>
    </row>
    <row r="517" spans="1:26" ht="20">
      <c r="A517" s="46">
        <v>37559</v>
      </c>
      <c r="B517" s="45" t="s">
        <v>1012</v>
      </c>
      <c r="C517" s="45" t="s">
        <v>90</v>
      </c>
      <c r="D517" s="47">
        <v>2</v>
      </c>
      <c r="E517" s="47" t="s">
        <v>47</v>
      </c>
      <c r="F517" s="47" t="s">
        <v>421</v>
      </c>
      <c r="G517" s="47" t="s">
        <v>534</v>
      </c>
      <c r="H517" s="90" t="s">
        <v>618</v>
      </c>
      <c r="I517" s="48">
        <v>1</v>
      </c>
      <c r="J517" s="47" t="s">
        <v>458</v>
      </c>
      <c r="N517" t="s">
        <v>90</v>
      </c>
      <c r="O517" t="s">
        <v>90</v>
      </c>
      <c r="P517" t="s">
        <v>90</v>
      </c>
      <c r="Q517" t="s">
        <v>90</v>
      </c>
      <c r="R517" t="s">
        <v>90</v>
      </c>
      <c r="S517" t="s">
        <v>90</v>
      </c>
      <c r="T517" t="s">
        <v>90</v>
      </c>
      <c r="U517" t="s">
        <v>90</v>
      </c>
      <c r="V517" t="s">
        <v>90</v>
      </c>
    </row>
    <row r="518" spans="1:26" ht="20">
      <c r="A518" s="46">
        <v>37560</v>
      </c>
      <c r="B518" s="45" t="s">
        <v>1013</v>
      </c>
      <c r="C518" s="45" t="s">
        <v>90</v>
      </c>
      <c r="D518" s="47">
        <v>2</v>
      </c>
      <c r="E518" s="47" t="s">
        <v>47</v>
      </c>
      <c r="F518" s="47" t="s">
        <v>420</v>
      </c>
      <c r="G518" s="47" t="s">
        <v>535</v>
      </c>
      <c r="H518" s="90" t="s">
        <v>619</v>
      </c>
      <c r="I518" s="48">
        <v>1</v>
      </c>
      <c r="J518" s="47" t="s">
        <v>458</v>
      </c>
      <c r="N518" t="s">
        <v>90</v>
      </c>
      <c r="O518" t="s">
        <v>90</v>
      </c>
      <c r="P518" t="s">
        <v>90</v>
      </c>
      <c r="Q518" t="s">
        <v>90</v>
      </c>
      <c r="R518" t="s">
        <v>90</v>
      </c>
      <c r="S518" t="s">
        <v>90</v>
      </c>
      <c r="T518" t="s">
        <v>90</v>
      </c>
      <c r="U518" t="s">
        <v>90</v>
      </c>
      <c r="V518" t="s">
        <v>90</v>
      </c>
    </row>
    <row r="519" spans="1:26" ht="20">
      <c r="A519" s="46">
        <v>37561</v>
      </c>
      <c r="B519" s="45" t="s">
        <v>1014</v>
      </c>
      <c r="C519" s="45" t="s">
        <v>90</v>
      </c>
      <c r="D519" s="47">
        <v>2</v>
      </c>
      <c r="E519" s="47" t="s">
        <v>413</v>
      </c>
      <c r="F519" s="47" t="s">
        <v>470</v>
      </c>
      <c r="G519" s="47">
        <v>3</v>
      </c>
      <c r="H519" s="90" t="s">
        <v>609</v>
      </c>
      <c r="I519" s="48">
        <v>2</v>
      </c>
      <c r="J519" s="47" t="s">
        <v>458</v>
      </c>
      <c r="N519" t="s">
        <v>90</v>
      </c>
      <c r="O519" t="s">
        <v>90</v>
      </c>
      <c r="P519" t="s">
        <v>90</v>
      </c>
      <c r="Q519" t="s">
        <v>90</v>
      </c>
      <c r="R519" t="s">
        <v>90</v>
      </c>
      <c r="S519" t="s">
        <v>90</v>
      </c>
      <c r="T519" t="s">
        <v>90</v>
      </c>
      <c r="U519" t="s">
        <v>90</v>
      </c>
      <c r="V519" t="s">
        <v>90</v>
      </c>
    </row>
    <row r="520" spans="1:26" ht="20">
      <c r="A520" s="46">
        <v>37562</v>
      </c>
      <c r="B520" s="45" t="s">
        <v>1015</v>
      </c>
      <c r="C520" s="45" t="s">
        <v>90</v>
      </c>
      <c r="D520" s="47">
        <v>2</v>
      </c>
      <c r="E520" s="47" t="s">
        <v>469</v>
      </c>
      <c r="F520" s="47" t="s">
        <v>470</v>
      </c>
      <c r="G520" s="47">
        <v>4</v>
      </c>
      <c r="H520" s="90" t="s">
        <v>572</v>
      </c>
      <c r="I520" s="48">
        <v>2</v>
      </c>
      <c r="J520" s="47" t="s">
        <v>458</v>
      </c>
      <c r="N520" t="s">
        <v>90</v>
      </c>
      <c r="O520" t="s">
        <v>90</v>
      </c>
      <c r="P520" t="s">
        <v>90</v>
      </c>
      <c r="Q520" t="s">
        <v>90</v>
      </c>
      <c r="R520" t="s">
        <v>90</v>
      </c>
      <c r="S520" t="s">
        <v>90</v>
      </c>
      <c r="T520" t="s">
        <v>90</v>
      </c>
      <c r="U520" t="s">
        <v>90</v>
      </c>
      <c r="V520" t="s">
        <v>90</v>
      </c>
    </row>
    <row r="521" spans="1:26" ht="20">
      <c r="A521" s="46">
        <v>37563</v>
      </c>
      <c r="B521" s="45" t="s">
        <v>1016</v>
      </c>
      <c r="C521" s="45" t="s">
        <v>90</v>
      </c>
      <c r="D521" s="47">
        <v>2</v>
      </c>
      <c r="E521" s="47" t="s">
        <v>413</v>
      </c>
      <c r="F521" s="47" t="s">
        <v>470</v>
      </c>
      <c r="G521" s="47">
        <v>4</v>
      </c>
      <c r="H521" s="90" t="s">
        <v>573</v>
      </c>
      <c r="I521" s="48">
        <v>2</v>
      </c>
      <c r="J521" s="47" t="s">
        <v>458</v>
      </c>
      <c r="N521" t="s">
        <v>90</v>
      </c>
      <c r="O521" t="s">
        <v>90</v>
      </c>
      <c r="P521" t="s">
        <v>90</v>
      </c>
      <c r="Q521" t="s">
        <v>90</v>
      </c>
      <c r="R521" t="s">
        <v>90</v>
      </c>
      <c r="S521" t="s">
        <v>90</v>
      </c>
      <c r="T521" t="s">
        <v>90</v>
      </c>
      <c r="U521" t="s">
        <v>90</v>
      </c>
      <c r="V521" t="s">
        <v>90</v>
      </c>
      <c r="W521" s="45"/>
      <c r="X521" s="45"/>
      <c r="Y521" s="45"/>
      <c r="Z521" s="45"/>
    </row>
    <row r="522" spans="1:26" ht="20">
      <c r="A522" s="46">
        <v>37564</v>
      </c>
      <c r="B522" s="45" t="s">
        <v>1017</v>
      </c>
      <c r="C522" s="45" t="s">
        <v>90</v>
      </c>
      <c r="D522" s="47">
        <v>2</v>
      </c>
      <c r="E522" s="47" t="s">
        <v>413</v>
      </c>
      <c r="F522" s="47" t="s">
        <v>418</v>
      </c>
      <c r="G522" s="47" t="s">
        <v>535</v>
      </c>
      <c r="H522" s="90" t="s">
        <v>574</v>
      </c>
      <c r="I522" s="48">
        <v>2</v>
      </c>
      <c r="J522" s="47" t="s">
        <v>458</v>
      </c>
      <c r="N522" t="s">
        <v>90</v>
      </c>
      <c r="O522" t="s">
        <v>90</v>
      </c>
      <c r="P522" t="s">
        <v>90</v>
      </c>
      <c r="Q522" t="s">
        <v>90</v>
      </c>
      <c r="R522" t="s">
        <v>90</v>
      </c>
      <c r="S522" t="s">
        <v>90</v>
      </c>
      <c r="T522" t="s">
        <v>90</v>
      </c>
      <c r="U522" t="s">
        <v>90</v>
      </c>
      <c r="V522" t="s">
        <v>90</v>
      </c>
      <c r="W522" s="45"/>
      <c r="X522" s="45"/>
      <c r="Y522" s="45"/>
      <c r="Z522" s="45"/>
    </row>
    <row r="523" spans="1:26" ht="20">
      <c r="A523" s="46">
        <v>37565</v>
      </c>
      <c r="B523" s="45" t="s">
        <v>1018</v>
      </c>
      <c r="C523" s="45" t="s">
        <v>90</v>
      </c>
      <c r="D523" s="47">
        <v>2</v>
      </c>
      <c r="E523" s="47" t="s">
        <v>469</v>
      </c>
      <c r="F523" s="47" t="s">
        <v>418</v>
      </c>
      <c r="G523" s="47" t="s">
        <v>535</v>
      </c>
      <c r="H523" s="90" t="s">
        <v>575</v>
      </c>
      <c r="I523" s="48">
        <v>2</v>
      </c>
      <c r="J523" s="47" t="s">
        <v>458</v>
      </c>
      <c r="N523" t="s">
        <v>90</v>
      </c>
      <c r="O523" t="s">
        <v>90</v>
      </c>
      <c r="P523" t="s">
        <v>90</v>
      </c>
      <c r="Q523" t="s">
        <v>90</v>
      </c>
      <c r="R523" t="s">
        <v>90</v>
      </c>
      <c r="S523" t="s">
        <v>90</v>
      </c>
      <c r="T523" t="s">
        <v>90</v>
      </c>
      <c r="U523" t="s">
        <v>90</v>
      </c>
      <c r="V523" t="s">
        <v>90</v>
      </c>
      <c r="W523" s="45"/>
      <c r="X523" s="45"/>
      <c r="Y523" s="45"/>
      <c r="Z523" s="45"/>
    </row>
    <row r="524" spans="1:26" ht="20">
      <c r="A524" s="46">
        <v>37566</v>
      </c>
      <c r="B524" s="45" t="s">
        <v>1019</v>
      </c>
      <c r="C524" s="45" t="s">
        <v>90</v>
      </c>
      <c r="D524" s="47">
        <v>2</v>
      </c>
      <c r="E524" s="47" t="s">
        <v>413</v>
      </c>
      <c r="F524" s="47" t="s">
        <v>433</v>
      </c>
      <c r="G524" s="47" t="s">
        <v>534</v>
      </c>
      <c r="H524" s="90" t="s">
        <v>576</v>
      </c>
      <c r="I524" s="48">
        <v>2</v>
      </c>
      <c r="J524" s="47" t="s">
        <v>458</v>
      </c>
      <c r="N524" t="s">
        <v>90</v>
      </c>
      <c r="O524" t="s">
        <v>90</v>
      </c>
      <c r="P524" t="s">
        <v>90</v>
      </c>
      <c r="Q524" t="s">
        <v>90</v>
      </c>
      <c r="R524" t="s">
        <v>90</v>
      </c>
      <c r="S524" t="s">
        <v>90</v>
      </c>
      <c r="T524" t="s">
        <v>90</v>
      </c>
      <c r="U524" t="s">
        <v>90</v>
      </c>
      <c r="V524" t="s">
        <v>90</v>
      </c>
      <c r="W524" s="45"/>
      <c r="X524" s="45"/>
      <c r="Y524" s="45"/>
      <c r="Z524" s="45"/>
    </row>
    <row r="525" spans="1:26" ht="20">
      <c r="A525" s="46">
        <v>37567</v>
      </c>
      <c r="B525" s="45" t="s">
        <v>1020</v>
      </c>
      <c r="C525" s="45" t="s">
        <v>90</v>
      </c>
      <c r="D525" s="47">
        <v>2</v>
      </c>
      <c r="E525" s="47" t="s">
        <v>469</v>
      </c>
      <c r="F525" s="47" t="s">
        <v>433</v>
      </c>
      <c r="G525" s="47" t="s">
        <v>535</v>
      </c>
      <c r="H525" s="90" t="s">
        <v>577</v>
      </c>
      <c r="I525" s="48">
        <v>2</v>
      </c>
      <c r="J525" s="47" t="s">
        <v>458</v>
      </c>
      <c r="N525" t="s">
        <v>90</v>
      </c>
      <c r="O525" t="s">
        <v>90</v>
      </c>
      <c r="P525" t="s">
        <v>90</v>
      </c>
      <c r="Q525" t="s">
        <v>90</v>
      </c>
      <c r="R525" t="s">
        <v>90</v>
      </c>
      <c r="S525" t="s">
        <v>90</v>
      </c>
      <c r="T525" t="s">
        <v>90</v>
      </c>
      <c r="U525" t="s">
        <v>90</v>
      </c>
      <c r="V525" t="s">
        <v>90</v>
      </c>
      <c r="W525" s="45"/>
      <c r="X525" s="45"/>
      <c r="Y525" s="45"/>
      <c r="Z525" s="45"/>
    </row>
    <row r="526" spans="1:26" ht="20">
      <c r="A526" s="46">
        <v>37568</v>
      </c>
      <c r="B526" s="45" t="s">
        <v>1021</v>
      </c>
      <c r="C526" s="45" t="s">
        <v>90</v>
      </c>
      <c r="D526" s="47">
        <v>2</v>
      </c>
      <c r="E526" s="47" t="s">
        <v>413</v>
      </c>
      <c r="F526" s="47" t="s">
        <v>421</v>
      </c>
      <c r="G526" s="47" t="s">
        <v>535</v>
      </c>
      <c r="H526" s="90" t="s">
        <v>578</v>
      </c>
      <c r="I526" s="48">
        <v>2</v>
      </c>
      <c r="J526" s="47" t="s">
        <v>458</v>
      </c>
      <c r="N526" t="s">
        <v>90</v>
      </c>
      <c r="O526" t="s">
        <v>90</v>
      </c>
      <c r="P526" t="s">
        <v>90</v>
      </c>
      <c r="Q526" t="s">
        <v>90</v>
      </c>
      <c r="R526" t="s">
        <v>90</v>
      </c>
      <c r="S526" t="s">
        <v>90</v>
      </c>
      <c r="T526" t="s">
        <v>90</v>
      </c>
      <c r="U526" t="s">
        <v>90</v>
      </c>
      <c r="V526" t="s">
        <v>90</v>
      </c>
      <c r="W526" s="45"/>
      <c r="X526" s="45"/>
      <c r="Y526" s="45"/>
      <c r="Z526" s="45"/>
    </row>
    <row r="527" spans="1:26" ht="20">
      <c r="A527" s="46">
        <v>37569</v>
      </c>
      <c r="B527" s="45" t="s">
        <v>1022</v>
      </c>
      <c r="C527" s="45" t="s">
        <v>90</v>
      </c>
      <c r="D527" s="47">
        <v>2</v>
      </c>
      <c r="E527" s="47" t="s">
        <v>469</v>
      </c>
      <c r="F527" s="47" t="s">
        <v>421</v>
      </c>
      <c r="G527" s="47" t="s">
        <v>535</v>
      </c>
      <c r="H527" s="90" t="s">
        <v>579</v>
      </c>
      <c r="I527" s="48">
        <v>2</v>
      </c>
      <c r="J527" s="47" t="s">
        <v>458</v>
      </c>
      <c r="N527" t="s">
        <v>90</v>
      </c>
      <c r="O527" t="s">
        <v>90</v>
      </c>
      <c r="P527" t="s">
        <v>90</v>
      </c>
      <c r="Q527" t="s">
        <v>90</v>
      </c>
      <c r="R527" t="s">
        <v>90</v>
      </c>
      <c r="S527" t="s">
        <v>90</v>
      </c>
      <c r="T527" t="s">
        <v>90</v>
      </c>
      <c r="U527" t="s">
        <v>90</v>
      </c>
      <c r="V527" t="s">
        <v>90</v>
      </c>
      <c r="W527" s="45"/>
      <c r="X527" s="45"/>
      <c r="Y527" s="45"/>
      <c r="Z527" s="45"/>
    </row>
    <row r="528" spans="1:26" ht="20">
      <c r="A528" s="46">
        <v>37570</v>
      </c>
      <c r="B528" s="45" t="s">
        <v>1023</v>
      </c>
      <c r="C528" s="45" t="s">
        <v>90</v>
      </c>
      <c r="D528" s="47">
        <v>2</v>
      </c>
      <c r="E528" s="47" t="s">
        <v>69</v>
      </c>
      <c r="F528" s="47" t="s">
        <v>433</v>
      </c>
      <c r="G528" s="47">
        <v>5</v>
      </c>
      <c r="H528" s="90" t="s">
        <v>580</v>
      </c>
      <c r="I528" s="48">
        <v>1</v>
      </c>
      <c r="J528" s="47" t="s">
        <v>458</v>
      </c>
      <c r="N528" t="s">
        <v>90</v>
      </c>
      <c r="O528" t="s">
        <v>90</v>
      </c>
      <c r="P528" t="s">
        <v>90</v>
      </c>
      <c r="Q528" t="s">
        <v>90</v>
      </c>
      <c r="R528" t="s">
        <v>90</v>
      </c>
      <c r="S528" t="s">
        <v>90</v>
      </c>
      <c r="T528" t="s">
        <v>90</v>
      </c>
      <c r="U528" t="s">
        <v>90</v>
      </c>
      <c r="V528" t="s">
        <v>90</v>
      </c>
      <c r="W528" s="45"/>
      <c r="X528" s="45"/>
      <c r="Y528" s="45"/>
      <c r="Z528" s="45"/>
    </row>
    <row r="529" spans="1:26" ht="20">
      <c r="A529" s="46">
        <v>37571</v>
      </c>
      <c r="B529" s="45" t="s">
        <v>1024</v>
      </c>
      <c r="C529" s="45" t="s">
        <v>90</v>
      </c>
      <c r="D529" s="47">
        <v>2</v>
      </c>
      <c r="E529" s="47" t="s">
        <v>69</v>
      </c>
      <c r="F529" s="47" t="s">
        <v>470</v>
      </c>
      <c r="G529" s="47">
        <v>5</v>
      </c>
      <c r="H529" s="90" t="s">
        <v>581</v>
      </c>
      <c r="I529" s="48">
        <v>1</v>
      </c>
      <c r="J529" s="47" t="s">
        <v>458</v>
      </c>
      <c r="N529" t="s">
        <v>90</v>
      </c>
      <c r="O529" t="s">
        <v>90</v>
      </c>
      <c r="P529" t="s">
        <v>90</v>
      </c>
      <c r="Q529" t="s">
        <v>90</v>
      </c>
      <c r="R529" t="s">
        <v>90</v>
      </c>
      <c r="S529" t="s">
        <v>90</v>
      </c>
      <c r="T529" t="s">
        <v>90</v>
      </c>
      <c r="U529" t="s">
        <v>90</v>
      </c>
      <c r="V529" t="s">
        <v>90</v>
      </c>
      <c r="W529" s="45"/>
      <c r="X529" s="45"/>
      <c r="Y529" s="45"/>
      <c r="Z529" s="45"/>
    </row>
    <row r="530" spans="1:26" ht="20">
      <c r="A530" s="46">
        <v>37572</v>
      </c>
      <c r="B530" s="45" t="s">
        <v>1025</v>
      </c>
      <c r="C530" s="45" t="s">
        <v>90</v>
      </c>
      <c r="D530" s="47">
        <v>2</v>
      </c>
      <c r="E530" s="47" t="s">
        <v>69</v>
      </c>
      <c r="F530" s="47" t="s">
        <v>421</v>
      </c>
      <c r="G530" s="47">
        <v>3</v>
      </c>
      <c r="H530" s="90" t="s">
        <v>582</v>
      </c>
      <c r="I530" s="48">
        <v>1</v>
      </c>
      <c r="J530" s="47" t="s">
        <v>458</v>
      </c>
      <c r="N530" t="s">
        <v>90</v>
      </c>
      <c r="O530" t="s">
        <v>90</v>
      </c>
      <c r="P530" t="s">
        <v>90</v>
      </c>
      <c r="Q530" t="s">
        <v>90</v>
      </c>
      <c r="R530" t="s">
        <v>90</v>
      </c>
      <c r="S530" t="s">
        <v>90</v>
      </c>
      <c r="T530" t="s">
        <v>90</v>
      </c>
      <c r="U530" t="s">
        <v>90</v>
      </c>
      <c r="V530" t="s">
        <v>90</v>
      </c>
      <c r="W530" s="45"/>
      <c r="X530" s="45"/>
      <c r="Y530" s="45"/>
      <c r="Z530" s="45"/>
    </row>
    <row r="531" spans="1:26" ht="20">
      <c r="A531" s="46">
        <v>37573</v>
      </c>
      <c r="B531" s="45" t="s">
        <v>1026</v>
      </c>
      <c r="C531" s="45" t="s">
        <v>90</v>
      </c>
      <c r="D531" s="47">
        <v>2</v>
      </c>
      <c r="E531" s="47" t="s">
        <v>47</v>
      </c>
      <c r="F531" s="47" t="s">
        <v>418</v>
      </c>
      <c r="G531" s="47">
        <v>2</v>
      </c>
      <c r="H531" s="90" t="s">
        <v>583</v>
      </c>
      <c r="I531" s="48">
        <v>1</v>
      </c>
      <c r="J531" s="47" t="s">
        <v>458</v>
      </c>
      <c r="N531" t="s">
        <v>90</v>
      </c>
      <c r="O531" t="s">
        <v>90</v>
      </c>
      <c r="P531" t="s">
        <v>90</v>
      </c>
      <c r="Q531" t="s">
        <v>90</v>
      </c>
      <c r="R531" t="s">
        <v>90</v>
      </c>
      <c r="S531" t="s">
        <v>90</v>
      </c>
      <c r="T531" t="s">
        <v>90</v>
      </c>
      <c r="U531" t="s">
        <v>90</v>
      </c>
      <c r="V531" t="s">
        <v>90</v>
      </c>
      <c r="W531" s="45"/>
      <c r="X531" s="45"/>
      <c r="Y531" s="45"/>
      <c r="Z531" s="45"/>
    </row>
    <row r="532" spans="1:26" ht="20">
      <c r="A532" s="46">
        <v>37574</v>
      </c>
      <c r="B532" s="45" t="s">
        <v>1027</v>
      </c>
      <c r="C532" s="45" t="s">
        <v>90</v>
      </c>
      <c r="D532" s="47">
        <v>2</v>
      </c>
      <c r="E532" s="47" t="s">
        <v>469</v>
      </c>
      <c r="F532" s="47" t="s">
        <v>470</v>
      </c>
      <c r="G532" s="47">
        <v>5</v>
      </c>
      <c r="H532" s="90" t="s">
        <v>584</v>
      </c>
      <c r="I532" s="48" t="s">
        <v>532</v>
      </c>
      <c r="J532" s="47" t="s">
        <v>458</v>
      </c>
      <c r="N532" t="s">
        <v>90</v>
      </c>
      <c r="O532" t="s">
        <v>90</v>
      </c>
      <c r="P532" t="s">
        <v>90</v>
      </c>
      <c r="Q532" t="s">
        <v>90</v>
      </c>
      <c r="R532" t="s">
        <v>90</v>
      </c>
      <c r="S532" t="s">
        <v>90</v>
      </c>
      <c r="T532" t="s">
        <v>90</v>
      </c>
      <c r="U532" t="s">
        <v>90</v>
      </c>
      <c r="V532" t="s">
        <v>90</v>
      </c>
      <c r="W532" s="45"/>
      <c r="X532" s="45"/>
      <c r="Y532" s="45"/>
      <c r="Z532" s="45"/>
    </row>
    <row r="533" spans="1:26" ht="20">
      <c r="A533" s="46">
        <v>37575</v>
      </c>
      <c r="B533" s="45" t="s">
        <v>1028</v>
      </c>
      <c r="C533" s="45" t="s">
        <v>90</v>
      </c>
      <c r="D533" s="47">
        <v>2</v>
      </c>
      <c r="E533" s="47" t="s">
        <v>69</v>
      </c>
      <c r="F533" s="47" t="s">
        <v>421</v>
      </c>
      <c r="G533" s="47" t="s">
        <v>534</v>
      </c>
      <c r="H533" s="90" t="s">
        <v>585</v>
      </c>
      <c r="I533" s="48">
        <v>3</v>
      </c>
      <c r="J533" s="47" t="s">
        <v>458</v>
      </c>
      <c r="N533" t="s">
        <v>90</v>
      </c>
      <c r="O533" t="s">
        <v>90</v>
      </c>
      <c r="P533" t="s">
        <v>90</v>
      </c>
      <c r="Q533" t="s">
        <v>90</v>
      </c>
      <c r="R533" t="s">
        <v>90</v>
      </c>
      <c r="S533" t="s">
        <v>90</v>
      </c>
      <c r="T533" t="s">
        <v>90</v>
      </c>
      <c r="U533" t="s">
        <v>90</v>
      </c>
      <c r="V533" t="s">
        <v>90</v>
      </c>
      <c r="W533" s="45"/>
      <c r="X533" s="45"/>
      <c r="Y533" s="45"/>
      <c r="Z533" s="45"/>
    </row>
    <row r="534" spans="1:26" ht="20">
      <c r="A534" s="46">
        <v>37576</v>
      </c>
      <c r="B534" s="45" t="s">
        <v>1029</v>
      </c>
      <c r="C534" s="45" t="s">
        <v>90</v>
      </c>
      <c r="D534" s="47">
        <v>2</v>
      </c>
      <c r="E534" s="47" t="s">
        <v>469</v>
      </c>
      <c r="F534" s="47" t="s">
        <v>421</v>
      </c>
      <c r="G534" s="47" t="s">
        <v>535</v>
      </c>
      <c r="H534" s="90" t="s">
        <v>586</v>
      </c>
      <c r="I534" s="48">
        <v>3</v>
      </c>
      <c r="J534" s="47" t="s">
        <v>458</v>
      </c>
      <c r="N534" t="s">
        <v>90</v>
      </c>
      <c r="O534" t="s">
        <v>90</v>
      </c>
      <c r="P534" t="s">
        <v>90</v>
      </c>
      <c r="Q534" t="s">
        <v>90</v>
      </c>
      <c r="R534" t="s">
        <v>90</v>
      </c>
      <c r="S534" t="s">
        <v>90</v>
      </c>
      <c r="T534" t="s">
        <v>90</v>
      </c>
      <c r="U534" t="s">
        <v>90</v>
      </c>
      <c r="V534" t="s">
        <v>90</v>
      </c>
      <c r="W534" s="45"/>
      <c r="X534" s="45"/>
      <c r="Y534" s="45"/>
      <c r="Z534" s="45"/>
    </row>
    <row r="535" spans="1:26" ht="20">
      <c r="A535" s="46">
        <v>37577</v>
      </c>
      <c r="B535" s="45" t="s">
        <v>1030</v>
      </c>
      <c r="C535" s="45" t="s">
        <v>90</v>
      </c>
      <c r="D535" s="47">
        <v>2</v>
      </c>
      <c r="E535" s="47" t="s">
        <v>69</v>
      </c>
      <c r="F535" s="47" t="s">
        <v>445</v>
      </c>
      <c r="G535" s="47">
        <v>5</v>
      </c>
      <c r="H535" s="90" t="s">
        <v>587</v>
      </c>
      <c r="I535" s="48">
        <v>3</v>
      </c>
      <c r="J535" s="47" t="s">
        <v>458</v>
      </c>
      <c r="N535" t="s">
        <v>90</v>
      </c>
      <c r="O535" t="s">
        <v>90</v>
      </c>
      <c r="P535" t="s">
        <v>90</v>
      </c>
      <c r="Q535" t="s">
        <v>90</v>
      </c>
      <c r="R535" t="s">
        <v>90</v>
      </c>
      <c r="S535" t="s">
        <v>90</v>
      </c>
      <c r="T535" t="s">
        <v>90</v>
      </c>
      <c r="U535" t="s">
        <v>90</v>
      </c>
      <c r="V535" t="s">
        <v>90</v>
      </c>
      <c r="W535" s="45"/>
      <c r="X535" s="45"/>
      <c r="Y535" s="45"/>
      <c r="Z535" s="45"/>
    </row>
    <row r="536" spans="1:26" ht="20">
      <c r="A536" s="46">
        <v>37578</v>
      </c>
      <c r="B536" s="45" t="s">
        <v>1031</v>
      </c>
      <c r="C536" s="45" t="s">
        <v>90</v>
      </c>
      <c r="D536" s="47">
        <v>2</v>
      </c>
      <c r="E536" s="47" t="s">
        <v>469</v>
      </c>
      <c r="F536" s="47" t="s">
        <v>418</v>
      </c>
      <c r="G536" s="47">
        <v>3</v>
      </c>
      <c r="H536" s="90" t="s">
        <v>588</v>
      </c>
      <c r="I536" s="48">
        <v>3</v>
      </c>
      <c r="J536" s="47" t="s">
        <v>458</v>
      </c>
      <c r="N536" t="s">
        <v>90</v>
      </c>
      <c r="O536" t="s">
        <v>90</v>
      </c>
      <c r="P536" t="s">
        <v>90</v>
      </c>
      <c r="Q536" t="s">
        <v>90</v>
      </c>
      <c r="R536" t="s">
        <v>90</v>
      </c>
      <c r="S536" t="s">
        <v>90</v>
      </c>
      <c r="T536" t="s">
        <v>90</v>
      </c>
      <c r="U536" t="s">
        <v>90</v>
      </c>
      <c r="V536" t="s">
        <v>90</v>
      </c>
      <c r="W536" s="45"/>
      <c r="X536" s="45"/>
      <c r="Y536" s="45"/>
      <c r="Z536" s="45"/>
    </row>
    <row r="537" spans="1:26" ht="20">
      <c r="A537" s="46">
        <v>37579</v>
      </c>
      <c r="B537" s="45" t="s">
        <v>1032</v>
      </c>
      <c r="C537" s="45" t="s">
        <v>90</v>
      </c>
      <c r="D537" s="47">
        <v>2</v>
      </c>
      <c r="E537" s="47" t="s">
        <v>69</v>
      </c>
      <c r="F537" s="47" t="s">
        <v>536</v>
      </c>
      <c r="G537" s="47" t="s">
        <v>535</v>
      </c>
      <c r="H537" s="90" t="s">
        <v>589</v>
      </c>
      <c r="I537" s="48">
        <v>3</v>
      </c>
      <c r="J537" s="47" t="s">
        <v>458</v>
      </c>
      <c r="N537" t="s">
        <v>90</v>
      </c>
      <c r="O537" t="s">
        <v>90</v>
      </c>
      <c r="P537" t="s">
        <v>90</v>
      </c>
      <c r="Q537" t="s">
        <v>90</v>
      </c>
      <c r="R537" t="s">
        <v>90</v>
      </c>
      <c r="S537" t="s">
        <v>90</v>
      </c>
      <c r="T537" t="s">
        <v>90</v>
      </c>
      <c r="U537" t="s">
        <v>90</v>
      </c>
      <c r="V537" t="s">
        <v>90</v>
      </c>
      <c r="W537" s="45"/>
      <c r="X537" s="45"/>
      <c r="Y537" s="45"/>
      <c r="Z537" s="45"/>
    </row>
    <row r="538" spans="1:26" ht="20">
      <c r="A538" s="46">
        <v>37580</v>
      </c>
      <c r="B538" s="45" t="s">
        <v>1033</v>
      </c>
      <c r="C538" s="45" t="s">
        <v>90</v>
      </c>
      <c r="D538" s="47">
        <v>2</v>
      </c>
      <c r="E538" s="47" t="s">
        <v>469</v>
      </c>
      <c r="F538" s="47" t="s">
        <v>445</v>
      </c>
      <c r="G538" s="47" t="s">
        <v>534</v>
      </c>
      <c r="H538" s="90" t="s">
        <v>590</v>
      </c>
      <c r="I538" s="48">
        <v>3</v>
      </c>
      <c r="J538" s="47" t="s">
        <v>458</v>
      </c>
      <c r="N538" t="s">
        <v>90</v>
      </c>
      <c r="O538" t="s">
        <v>90</v>
      </c>
      <c r="P538" t="s">
        <v>90</v>
      </c>
      <c r="Q538" t="s">
        <v>90</v>
      </c>
      <c r="R538" t="s">
        <v>90</v>
      </c>
      <c r="S538" t="s">
        <v>90</v>
      </c>
      <c r="T538" t="s">
        <v>90</v>
      </c>
      <c r="U538" t="s">
        <v>90</v>
      </c>
      <c r="V538" t="s">
        <v>90</v>
      </c>
      <c r="W538" s="45"/>
      <c r="X538" s="45"/>
      <c r="Y538" s="45"/>
      <c r="Z538" s="45"/>
    </row>
    <row r="539" spans="1:26" ht="20">
      <c r="A539" s="46">
        <v>37581</v>
      </c>
      <c r="B539" s="45" t="s">
        <v>1034</v>
      </c>
      <c r="C539" s="45" t="s">
        <v>90</v>
      </c>
      <c r="D539" s="47">
        <v>2</v>
      </c>
      <c r="E539" s="47" t="s">
        <v>469</v>
      </c>
      <c r="F539" s="47" t="s">
        <v>463</v>
      </c>
      <c r="G539" s="47">
        <v>3</v>
      </c>
      <c r="H539" s="90" t="s">
        <v>591</v>
      </c>
      <c r="I539" s="48">
        <v>3</v>
      </c>
      <c r="J539" s="47" t="s">
        <v>458</v>
      </c>
      <c r="N539" t="s">
        <v>90</v>
      </c>
      <c r="O539" t="s">
        <v>90</v>
      </c>
      <c r="P539" t="s">
        <v>90</v>
      </c>
      <c r="Q539" t="s">
        <v>90</v>
      </c>
      <c r="R539" t="s">
        <v>90</v>
      </c>
      <c r="S539" t="s">
        <v>90</v>
      </c>
      <c r="T539" t="s">
        <v>90</v>
      </c>
      <c r="U539" t="s">
        <v>90</v>
      </c>
      <c r="V539" t="s">
        <v>90</v>
      </c>
      <c r="W539" s="45"/>
      <c r="X539" s="45"/>
      <c r="Y539" s="45"/>
      <c r="Z539" s="45"/>
    </row>
    <row r="540" spans="1:26" ht="20">
      <c r="A540" s="46">
        <v>37582</v>
      </c>
      <c r="B540" s="45" t="s">
        <v>1035</v>
      </c>
      <c r="C540" s="45"/>
      <c r="D540" s="47">
        <v>2</v>
      </c>
      <c r="E540" s="47" t="s">
        <v>467</v>
      </c>
      <c r="F540" s="47" t="s">
        <v>463</v>
      </c>
      <c r="G540" s="47">
        <v>5</v>
      </c>
      <c r="H540" s="90" t="s">
        <v>592</v>
      </c>
      <c r="I540" s="48">
        <v>3</v>
      </c>
      <c r="J540" s="47" t="s">
        <v>202</v>
      </c>
      <c r="N540" t="s">
        <v>90</v>
      </c>
      <c r="O540" t="s">
        <v>90</v>
      </c>
      <c r="P540" t="s">
        <v>90</v>
      </c>
      <c r="Q540" t="s">
        <v>90</v>
      </c>
      <c r="R540" t="s">
        <v>90</v>
      </c>
      <c r="S540" t="s">
        <v>90</v>
      </c>
      <c r="T540" t="s">
        <v>90</v>
      </c>
      <c r="U540" t="s">
        <v>90</v>
      </c>
      <c r="V540" t="s">
        <v>90</v>
      </c>
      <c r="W540" s="45"/>
      <c r="X540" s="45"/>
      <c r="Y540" s="45"/>
      <c r="Z540" s="45"/>
    </row>
    <row r="541" spans="1:26" ht="20">
      <c r="A541" s="46">
        <v>37583</v>
      </c>
      <c r="B541" s="45" t="s">
        <v>1036</v>
      </c>
      <c r="C541" s="45" t="s">
        <v>90</v>
      </c>
      <c r="D541" s="47">
        <v>2</v>
      </c>
      <c r="E541" s="47" t="s">
        <v>467</v>
      </c>
      <c r="F541" s="47" t="s">
        <v>463</v>
      </c>
      <c r="G541" s="47">
        <v>5</v>
      </c>
      <c r="H541" s="90" t="s">
        <v>593</v>
      </c>
      <c r="I541" s="48">
        <v>3</v>
      </c>
      <c r="J541" s="56" t="s">
        <v>458</v>
      </c>
      <c r="N541" t="s">
        <v>90</v>
      </c>
      <c r="O541" t="s">
        <v>90</v>
      </c>
      <c r="P541" t="s">
        <v>90</v>
      </c>
      <c r="Q541" t="s">
        <v>90</v>
      </c>
      <c r="R541" t="s">
        <v>90</v>
      </c>
      <c r="S541" t="s">
        <v>90</v>
      </c>
      <c r="T541" t="s">
        <v>90</v>
      </c>
      <c r="U541" t="s">
        <v>90</v>
      </c>
      <c r="V541" t="s">
        <v>90</v>
      </c>
      <c r="W541" s="45"/>
      <c r="X541" s="45"/>
      <c r="Y541" s="45"/>
      <c r="Z541" s="45"/>
    </row>
    <row r="542" spans="1:26" ht="20">
      <c r="A542" s="46">
        <v>37584</v>
      </c>
      <c r="B542" s="45" t="s">
        <v>1037</v>
      </c>
      <c r="C542" s="45" t="s">
        <v>90</v>
      </c>
      <c r="D542" s="47">
        <v>2</v>
      </c>
      <c r="E542" s="47" t="s">
        <v>537</v>
      </c>
      <c r="F542" s="47" t="s">
        <v>433</v>
      </c>
      <c r="G542" s="47">
        <v>2</v>
      </c>
      <c r="H542" s="90" t="s">
        <v>594</v>
      </c>
      <c r="I542" s="48">
        <v>3</v>
      </c>
      <c r="J542" s="47" t="s">
        <v>458</v>
      </c>
      <c r="N542" t="s">
        <v>90</v>
      </c>
      <c r="O542" t="s">
        <v>90</v>
      </c>
      <c r="P542" t="s">
        <v>90</v>
      </c>
      <c r="Q542" t="s">
        <v>90</v>
      </c>
      <c r="R542" t="s">
        <v>90</v>
      </c>
      <c r="S542" t="s">
        <v>90</v>
      </c>
      <c r="T542" t="s">
        <v>90</v>
      </c>
      <c r="U542" t="s">
        <v>90</v>
      </c>
      <c r="V542" t="s">
        <v>90</v>
      </c>
      <c r="W542" s="45"/>
      <c r="X542" s="45"/>
      <c r="Y542" s="45"/>
      <c r="Z542" s="45"/>
    </row>
    <row r="543" spans="1:26" ht="20">
      <c r="A543" s="46">
        <v>37585</v>
      </c>
      <c r="B543" s="45" t="s">
        <v>1038</v>
      </c>
      <c r="C543" s="45" t="s">
        <v>90</v>
      </c>
      <c r="D543" s="47">
        <v>2</v>
      </c>
      <c r="E543" s="47" t="s">
        <v>469</v>
      </c>
      <c r="F543" s="47" t="s">
        <v>418</v>
      </c>
      <c r="G543" s="47">
        <v>2</v>
      </c>
      <c r="H543" s="90" t="s">
        <v>595</v>
      </c>
      <c r="I543" s="48">
        <v>3</v>
      </c>
      <c r="J543" s="47" t="s">
        <v>458</v>
      </c>
      <c r="N543" t="s">
        <v>90</v>
      </c>
      <c r="O543" t="s">
        <v>90</v>
      </c>
      <c r="P543" t="s">
        <v>90</v>
      </c>
      <c r="Q543" t="s">
        <v>90</v>
      </c>
      <c r="R543" t="s">
        <v>90</v>
      </c>
      <c r="S543" t="s">
        <v>90</v>
      </c>
      <c r="T543" t="s">
        <v>90</v>
      </c>
      <c r="U543" t="s">
        <v>90</v>
      </c>
      <c r="V543" t="s">
        <v>90</v>
      </c>
      <c r="W543" s="45"/>
      <c r="X543" s="45"/>
      <c r="Y543" s="45"/>
      <c r="Z543" s="45"/>
    </row>
    <row r="544" spans="1:26" ht="20">
      <c r="A544" s="46">
        <v>37586</v>
      </c>
      <c r="B544" s="45" t="s">
        <v>1039</v>
      </c>
      <c r="C544" s="45" t="s">
        <v>90</v>
      </c>
      <c r="D544" s="47">
        <v>2</v>
      </c>
      <c r="E544" s="47" t="s">
        <v>469</v>
      </c>
      <c r="F544" s="47" t="s">
        <v>470</v>
      </c>
      <c r="G544" s="47">
        <v>4</v>
      </c>
      <c r="H544" s="90" t="s">
        <v>596</v>
      </c>
      <c r="I544" s="48">
        <v>3</v>
      </c>
      <c r="J544" s="47" t="s">
        <v>458</v>
      </c>
      <c r="N544" t="s">
        <v>90</v>
      </c>
      <c r="O544" t="s">
        <v>90</v>
      </c>
      <c r="P544" t="s">
        <v>90</v>
      </c>
      <c r="Q544" t="s">
        <v>90</v>
      </c>
      <c r="R544" t="s">
        <v>90</v>
      </c>
      <c r="S544" t="s">
        <v>90</v>
      </c>
      <c r="T544" t="s">
        <v>90</v>
      </c>
      <c r="U544" t="s">
        <v>90</v>
      </c>
      <c r="V544" t="s">
        <v>90</v>
      </c>
      <c r="W544" s="45"/>
      <c r="X544" s="45"/>
      <c r="Y544" s="45"/>
      <c r="Z544" s="45"/>
    </row>
    <row r="545" spans="1:26" ht="20">
      <c r="A545" s="46">
        <v>37587</v>
      </c>
      <c r="B545" s="45" t="s">
        <v>1040</v>
      </c>
      <c r="C545" s="45" t="s">
        <v>90</v>
      </c>
      <c r="D545" s="47">
        <v>2</v>
      </c>
      <c r="E545" s="47" t="s">
        <v>434</v>
      </c>
      <c r="F545" s="47" t="s">
        <v>470</v>
      </c>
      <c r="G545" s="47">
        <v>3</v>
      </c>
      <c r="H545" s="90" t="s">
        <v>597</v>
      </c>
      <c r="I545" s="48">
        <v>4</v>
      </c>
      <c r="J545" s="47" t="s">
        <v>202</v>
      </c>
      <c r="N545" t="s">
        <v>90</v>
      </c>
      <c r="O545" t="s">
        <v>90</v>
      </c>
      <c r="P545" t="s">
        <v>90</v>
      </c>
      <c r="Q545" t="s">
        <v>90</v>
      </c>
      <c r="R545" t="s">
        <v>90</v>
      </c>
      <c r="S545" t="s">
        <v>90</v>
      </c>
      <c r="T545" t="s">
        <v>90</v>
      </c>
      <c r="U545" t="s">
        <v>90</v>
      </c>
      <c r="V545" t="s">
        <v>90</v>
      </c>
      <c r="W545" s="45"/>
      <c r="X545" s="45"/>
      <c r="Y545" s="45"/>
      <c r="Z545" s="45"/>
    </row>
    <row r="546" spans="1:26" ht="20">
      <c r="A546" s="46">
        <v>38019</v>
      </c>
      <c r="B546" s="45" t="s">
        <v>673</v>
      </c>
      <c r="C546" s="45"/>
      <c r="D546" s="47">
        <v>4</v>
      </c>
      <c r="E546" s="47"/>
      <c r="F546" s="47" t="s">
        <v>498</v>
      </c>
      <c r="G546" s="47"/>
      <c r="H546" s="90" t="s">
        <v>598</v>
      </c>
      <c r="I546" s="48">
        <v>4</v>
      </c>
      <c r="J546" s="47" t="s">
        <v>458</v>
      </c>
      <c r="N546" t="s">
        <v>90</v>
      </c>
      <c r="O546" t="s">
        <v>256</v>
      </c>
      <c r="P546" t="s">
        <v>90</v>
      </c>
      <c r="Q546" t="s">
        <v>90</v>
      </c>
      <c r="R546" t="s">
        <v>90</v>
      </c>
      <c r="S546" t="s">
        <v>90</v>
      </c>
      <c r="T546" t="s">
        <v>256</v>
      </c>
      <c r="U546" t="s">
        <v>256</v>
      </c>
      <c r="V546" t="s">
        <v>256</v>
      </c>
      <c r="W546" s="45"/>
      <c r="X546" s="45"/>
      <c r="Y546" s="45"/>
      <c r="Z546" s="45"/>
    </row>
    <row r="547" spans="1:26" ht="20">
      <c r="A547" s="46">
        <v>37588</v>
      </c>
      <c r="B547" s="45" t="s">
        <v>1041</v>
      </c>
      <c r="C547" s="45" t="s">
        <v>90</v>
      </c>
      <c r="D547" s="47">
        <v>2</v>
      </c>
      <c r="E547" s="47" t="s">
        <v>525</v>
      </c>
      <c r="F547" s="47" t="s">
        <v>538</v>
      </c>
      <c r="G547" s="47">
        <v>4</v>
      </c>
      <c r="H547" s="90" t="s">
        <v>599</v>
      </c>
      <c r="I547" s="48">
        <v>1</v>
      </c>
      <c r="J547" s="47" t="s">
        <v>458</v>
      </c>
      <c r="N547" t="s">
        <v>90</v>
      </c>
      <c r="O547" t="s">
        <v>90</v>
      </c>
      <c r="P547" t="s">
        <v>90</v>
      </c>
      <c r="Q547" t="s">
        <v>90</v>
      </c>
      <c r="R547" t="s">
        <v>90</v>
      </c>
      <c r="S547" t="s">
        <v>90</v>
      </c>
      <c r="T547" t="s">
        <v>90</v>
      </c>
      <c r="U547" t="s">
        <v>90</v>
      </c>
      <c r="V547" t="s">
        <v>90</v>
      </c>
      <c r="W547" s="45"/>
      <c r="X547" s="45"/>
      <c r="Y547" s="45"/>
      <c r="Z547" s="45"/>
    </row>
    <row r="548" spans="1:26" ht="20">
      <c r="A548" s="46">
        <v>37589</v>
      </c>
      <c r="B548" s="45" t="s">
        <v>1042</v>
      </c>
      <c r="C548" s="45" t="s">
        <v>90</v>
      </c>
      <c r="D548" s="47">
        <v>2</v>
      </c>
      <c r="E548" s="47" t="s">
        <v>467</v>
      </c>
      <c r="F548" s="47" t="s">
        <v>433</v>
      </c>
      <c r="G548" s="47">
        <v>3</v>
      </c>
      <c r="H548" s="90" t="s">
        <v>600</v>
      </c>
      <c r="I548" s="48">
        <v>2</v>
      </c>
      <c r="J548" s="47" t="s">
        <v>458</v>
      </c>
      <c r="N548" t="s">
        <v>90</v>
      </c>
      <c r="O548" t="s">
        <v>90</v>
      </c>
      <c r="P548" t="s">
        <v>90</v>
      </c>
      <c r="Q548" t="s">
        <v>90</v>
      </c>
      <c r="R548" t="s">
        <v>90</v>
      </c>
      <c r="S548" t="s">
        <v>90</v>
      </c>
      <c r="T548" t="s">
        <v>90</v>
      </c>
      <c r="U548" t="s">
        <v>90</v>
      </c>
      <c r="V548" t="s">
        <v>256</v>
      </c>
      <c r="W548" s="45"/>
      <c r="X548" s="45"/>
      <c r="Y548" s="45"/>
      <c r="Z548" s="45"/>
    </row>
    <row r="549" spans="1:26" ht="20">
      <c r="A549" s="46">
        <v>37590</v>
      </c>
      <c r="B549" s="45" t="s">
        <v>1043</v>
      </c>
      <c r="C549" s="45" t="s">
        <v>90</v>
      </c>
      <c r="D549" s="47">
        <v>2</v>
      </c>
      <c r="E549" s="47" t="s">
        <v>69</v>
      </c>
      <c r="F549" s="47" t="s">
        <v>433</v>
      </c>
      <c r="G549" s="47">
        <v>5</v>
      </c>
      <c r="H549" s="90" t="s">
        <v>601</v>
      </c>
      <c r="I549" s="48">
        <v>1</v>
      </c>
      <c r="J549" s="47" t="s">
        <v>458</v>
      </c>
      <c r="N549" t="s">
        <v>90</v>
      </c>
      <c r="O549" t="s">
        <v>90</v>
      </c>
      <c r="P549" t="s">
        <v>90</v>
      </c>
      <c r="Q549" t="s">
        <v>90</v>
      </c>
      <c r="R549" t="s">
        <v>90</v>
      </c>
      <c r="S549" t="s">
        <v>90</v>
      </c>
      <c r="T549" t="s">
        <v>90</v>
      </c>
      <c r="U549" t="s">
        <v>90</v>
      </c>
      <c r="V549" t="s">
        <v>256</v>
      </c>
      <c r="W549" s="45"/>
      <c r="X549" s="45"/>
      <c r="Y549" s="45"/>
      <c r="Z549" s="45"/>
    </row>
    <row r="550" spans="1:26" ht="20">
      <c r="A550" s="46">
        <v>37591</v>
      </c>
      <c r="B550" s="45" t="s">
        <v>1044</v>
      </c>
      <c r="C550" s="45" t="s">
        <v>90</v>
      </c>
      <c r="D550" s="47">
        <v>2</v>
      </c>
      <c r="E550" s="47" t="s">
        <v>47</v>
      </c>
      <c r="F550" s="47" t="s">
        <v>433</v>
      </c>
      <c r="G550" s="47">
        <v>5</v>
      </c>
      <c r="H550" s="90" t="s">
        <v>602</v>
      </c>
      <c r="I550" s="48">
        <v>1</v>
      </c>
      <c r="J550" s="47" t="s">
        <v>458</v>
      </c>
      <c r="N550" t="s">
        <v>90</v>
      </c>
      <c r="O550" t="s">
        <v>90</v>
      </c>
      <c r="P550" t="s">
        <v>90</v>
      </c>
      <c r="Q550" t="s">
        <v>90</v>
      </c>
      <c r="R550" t="s">
        <v>90</v>
      </c>
      <c r="S550" t="s">
        <v>90</v>
      </c>
      <c r="T550" t="s">
        <v>90</v>
      </c>
      <c r="U550" t="s">
        <v>90</v>
      </c>
      <c r="V550" t="s">
        <v>256</v>
      </c>
      <c r="W550" s="45"/>
      <c r="X550" s="45"/>
      <c r="Y550" s="45"/>
      <c r="Z550" s="45"/>
    </row>
    <row r="551" spans="1:26" ht="20">
      <c r="A551" s="46">
        <v>37592</v>
      </c>
      <c r="B551" s="45" t="s">
        <v>1045</v>
      </c>
      <c r="C551" s="45" t="s">
        <v>90</v>
      </c>
      <c r="D551" s="47">
        <v>2</v>
      </c>
      <c r="E551" s="56" t="s">
        <v>424</v>
      </c>
      <c r="F551" s="56" t="s">
        <v>539</v>
      </c>
      <c r="G551" s="56">
        <v>4</v>
      </c>
      <c r="H551" s="90" t="s">
        <v>620</v>
      </c>
      <c r="I551" s="48">
        <v>1</v>
      </c>
      <c r="J551" s="47" t="s">
        <v>458</v>
      </c>
      <c r="N551" t="s">
        <v>90</v>
      </c>
      <c r="O551" t="s">
        <v>90</v>
      </c>
      <c r="P551" t="s">
        <v>90</v>
      </c>
      <c r="Q551" t="s">
        <v>90</v>
      </c>
      <c r="R551" t="s">
        <v>90</v>
      </c>
      <c r="S551" t="s">
        <v>90</v>
      </c>
      <c r="T551" t="s">
        <v>90</v>
      </c>
      <c r="U551" t="s">
        <v>90</v>
      </c>
      <c r="V551" t="s">
        <v>256</v>
      </c>
      <c r="W551" s="45"/>
      <c r="X551" s="45"/>
      <c r="Y551" s="45"/>
      <c r="Z551" s="45"/>
    </row>
    <row r="552" spans="1:26" ht="20">
      <c r="A552" s="46">
        <v>37593</v>
      </c>
      <c r="B552" s="45" t="s">
        <v>1046</v>
      </c>
      <c r="C552" s="45" t="s">
        <v>90</v>
      </c>
      <c r="D552" s="47">
        <v>2</v>
      </c>
      <c r="E552" s="56" t="s">
        <v>462</v>
      </c>
      <c r="F552" s="47" t="s">
        <v>418</v>
      </c>
      <c r="G552" s="56">
        <v>3</v>
      </c>
      <c r="H552" s="90" t="s">
        <v>603</v>
      </c>
      <c r="I552" s="48">
        <v>1</v>
      </c>
      <c r="J552" s="47" t="s">
        <v>458</v>
      </c>
      <c r="N552" t="s">
        <v>90</v>
      </c>
      <c r="O552" t="s">
        <v>90</v>
      </c>
      <c r="P552" t="s">
        <v>90</v>
      </c>
      <c r="Q552" t="s">
        <v>90</v>
      </c>
      <c r="R552" t="s">
        <v>90</v>
      </c>
      <c r="S552" t="s">
        <v>90</v>
      </c>
      <c r="T552" t="s">
        <v>90</v>
      </c>
      <c r="U552" t="s">
        <v>90</v>
      </c>
      <c r="V552" t="s">
        <v>256</v>
      </c>
      <c r="W552" s="45"/>
      <c r="X552" s="45"/>
      <c r="Y552" s="45"/>
      <c r="Z552" s="45"/>
    </row>
    <row r="553" spans="1:26" ht="20">
      <c r="A553" s="46">
        <v>37594</v>
      </c>
      <c r="B553" s="45" t="s">
        <v>1047</v>
      </c>
      <c r="C553" s="45" t="s">
        <v>90</v>
      </c>
      <c r="D553" s="47">
        <v>2</v>
      </c>
      <c r="E553" s="47" t="s">
        <v>69</v>
      </c>
      <c r="F553" s="47" t="s">
        <v>420</v>
      </c>
      <c r="G553" s="47">
        <v>4</v>
      </c>
      <c r="H553" s="90" t="s">
        <v>604</v>
      </c>
      <c r="I553" s="48">
        <v>1</v>
      </c>
      <c r="J553" s="47" t="s">
        <v>458</v>
      </c>
      <c r="N553" t="s">
        <v>90</v>
      </c>
      <c r="O553" t="s">
        <v>90</v>
      </c>
      <c r="P553" t="s">
        <v>90</v>
      </c>
      <c r="Q553" t="s">
        <v>90</v>
      </c>
      <c r="R553" t="s">
        <v>90</v>
      </c>
      <c r="S553" t="s">
        <v>90</v>
      </c>
      <c r="T553" t="s">
        <v>90</v>
      </c>
      <c r="U553" t="s">
        <v>90</v>
      </c>
      <c r="V553" t="s">
        <v>256</v>
      </c>
      <c r="W553" s="45"/>
      <c r="X553" s="45"/>
      <c r="Y553" s="45"/>
      <c r="Z553" s="45"/>
    </row>
    <row r="554" spans="1:26" ht="20">
      <c r="A554" s="46">
        <v>37595</v>
      </c>
      <c r="B554" s="45" t="s">
        <v>1048</v>
      </c>
      <c r="C554" s="45" t="s">
        <v>90</v>
      </c>
      <c r="D554" s="47">
        <v>2</v>
      </c>
      <c r="E554" s="47" t="s">
        <v>47</v>
      </c>
      <c r="F554" s="47" t="s">
        <v>470</v>
      </c>
      <c r="G554" s="47">
        <v>3</v>
      </c>
      <c r="H554" s="90" t="s">
        <v>605</v>
      </c>
      <c r="I554" s="48">
        <v>1</v>
      </c>
      <c r="J554" s="47" t="s">
        <v>458</v>
      </c>
      <c r="N554" t="s">
        <v>90</v>
      </c>
      <c r="O554" t="s">
        <v>90</v>
      </c>
      <c r="P554" t="s">
        <v>90</v>
      </c>
      <c r="Q554" t="s">
        <v>90</v>
      </c>
      <c r="R554" t="s">
        <v>90</v>
      </c>
      <c r="S554" t="s">
        <v>90</v>
      </c>
      <c r="T554" t="s">
        <v>90</v>
      </c>
      <c r="U554" t="s">
        <v>90</v>
      </c>
      <c r="V554" t="s">
        <v>256</v>
      </c>
      <c r="W554" s="45"/>
      <c r="X554" s="45"/>
      <c r="Y554" s="45"/>
      <c r="Z554" s="45"/>
    </row>
    <row r="555" spans="1:26" ht="20">
      <c r="A555" s="46">
        <v>37596</v>
      </c>
      <c r="B555" s="45" t="s">
        <v>1049</v>
      </c>
      <c r="C555" s="45"/>
      <c r="D555" s="47">
        <v>1</v>
      </c>
      <c r="E555" s="47" t="s">
        <v>69</v>
      </c>
      <c r="F555" s="47" t="s">
        <v>48</v>
      </c>
      <c r="G555" s="47" t="s">
        <v>97</v>
      </c>
      <c r="H555" s="90" t="s">
        <v>606</v>
      </c>
      <c r="I555" s="48">
        <v>2</v>
      </c>
      <c r="J555" s="47" t="s">
        <v>458</v>
      </c>
      <c r="N555" t="s">
        <v>90</v>
      </c>
      <c r="O555" t="s">
        <v>90</v>
      </c>
      <c r="P555" t="s">
        <v>90</v>
      </c>
      <c r="Q555" t="s">
        <v>90</v>
      </c>
      <c r="R555" t="s">
        <v>90</v>
      </c>
      <c r="S555" t="s">
        <v>90</v>
      </c>
      <c r="T555" t="s">
        <v>90</v>
      </c>
      <c r="U555" t="s">
        <v>90</v>
      </c>
      <c r="V555" t="s">
        <v>256</v>
      </c>
      <c r="W555" s="45"/>
      <c r="X555" s="45"/>
      <c r="Y555" s="45"/>
      <c r="Z555" s="45"/>
    </row>
    <row r="556" spans="1:26" ht="20">
      <c r="A556" s="46">
        <v>37599</v>
      </c>
      <c r="B556" s="45" t="s">
        <v>1050</v>
      </c>
      <c r="C556" s="45"/>
      <c r="D556" s="47">
        <v>1</v>
      </c>
      <c r="E556" s="47" t="s">
        <v>469</v>
      </c>
      <c r="F556" s="47" t="s">
        <v>419</v>
      </c>
      <c r="G556" s="47" t="s">
        <v>540</v>
      </c>
      <c r="H556" s="90" t="s">
        <v>609</v>
      </c>
      <c r="I556" s="48">
        <v>2</v>
      </c>
      <c r="J556" s="47" t="s">
        <v>458</v>
      </c>
      <c r="N556" t="s">
        <v>90</v>
      </c>
      <c r="O556" t="s">
        <v>90</v>
      </c>
      <c r="P556" t="s">
        <v>90</v>
      </c>
      <c r="Q556" t="s">
        <v>90</v>
      </c>
      <c r="R556" t="s">
        <v>90</v>
      </c>
      <c r="S556" t="s">
        <v>90</v>
      </c>
      <c r="T556" t="s">
        <v>90</v>
      </c>
      <c r="U556" t="s">
        <v>90</v>
      </c>
      <c r="V556" t="s">
        <v>256</v>
      </c>
      <c r="W556" s="45"/>
      <c r="X556" s="45"/>
      <c r="Y556" s="45"/>
      <c r="Z556" s="45"/>
    </row>
    <row r="557" spans="1:26" ht="20">
      <c r="A557" s="46">
        <v>37600</v>
      </c>
      <c r="B557" s="45" t="s">
        <v>1051</v>
      </c>
      <c r="C557" s="45" t="s">
        <v>90</v>
      </c>
      <c r="D557" s="47">
        <v>1</v>
      </c>
      <c r="E557" s="47" t="s">
        <v>413</v>
      </c>
      <c r="F557" s="47" t="s">
        <v>419</v>
      </c>
      <c r="G557" s="47" t="s">
        <v>540</v>
      </c>
      <c r="H557" s="90" t="s">
        <v>610</v>
      </c>
      <c r="I557" s="48">
        <v>2</v>
      </c>
      <c r="J557" s="47" t="s">
        <v>458</v>
      </c>
      <c r="N557" t="s">
        <v>90</v>
      </c>
      <c r="O557" t="s">
        <v>90</v>
      </c>
      <c r="P557" t="s">
        <v>90</v>
      </c>
      <c r="Q557" t="s">
        <v>90</v>
      </c>
      <c r="R557" t="s">
        <v>90</v>
      </c>
      <c r="S557" t="s">
        <v>90</v>
      </c>
      <c r="T557" t="s">
        <v>90</v>
      </c>
      <c r="U557" t="s">
        <v>90</v>
      </c>
      <c r="V557" t="s">
        <v>256</v>
      </c>
      <c r="W557" s="45"/>
      <c r="X557" s="45"/>
      <c r="Y557" s="45"/>
      <c r="Z557" s="45"/>
    </row>
    <row r="558" spans="1:26" ht="20">
      <c r="A558" s="46">
        <v>37603</v>
      </c>
      <c r="B558" s="45" t="s">
        <v>1052</v>
      </c>
      <c r="C558" s="45"/>
      <c r="D558" s="47">
        <v>1</v>
      </c>
      <c r="E558" s="47" t="s">
        <v>469</v>
      </c>
      <c r="F558" s="47" t="s">
        <v>421</v>
      </c>
      <c r="G558" s="47" t="s">
        <v>540</v>
      </c>
      <c r="H558" s="90" t="s">
        <v>613</v>
      </c>
      <c r="I558" s="48">
        <v>2</v>
      </c>
      <c r="J558" s="47" t="s">
        <v>458</v>
      </c>
      <c r="N558" t="s">
        <v>90</v>
      </c>
      <c r="O558" t="s">
        <v>90</v>
      </c>
      <c r="P558" t="s">
        <v>90</v>
      </c>
      <c r="Q558" t="s">
        <v>90</v>
      </c>
      <c r="R558" t="s">
        <v>90</v>
      </c>
      <c r="S558" t="s">
        <v>90</v>
      </c>
      <c r="T558" t="s">
        <v>90</v>
      </c>
      <c r="U558" t="s">
        <v>90</v>
      </c>
      <c r="V558" t="s">
        <v>256</v>
      </c>
      <c r="W558" s="45"/>
      <c r="X558" s="45"/>
      <c r="Y558" s="45"/>
      <c r="Z558" s="45"/>
    </row>
    <row r="559" spans="1:26" ht="20">
      <c r="A559" s="46">
        <v>37604</v>
      </c>
      <c r="B559" s="45" t="s">
        <v>1053</v>
      </c>
      <c r="C559" s="45" t="s">
        <v>90</v>
      </c>
      <c r="D559" s="47">
        <v>1</v>
      </c>
      <c r="E559" s="47"/>
      <c r="F559" s="47"/>
      <c r="G559" s="47"/>
      <c r="H559" s="90" t="s">
        <v>614</v>
      </c>
      <c r="I559" s="48">
        <v>2</v>
      </c>
      <c r="J559" s="47" t="s">
        <v>460</v>
      </c>
      <c r="N559" t="s">
        <v>90</v>
      </c>
      <c r="O559" t="s">
        <v>90</v>
      </c>
      <c r="P559" t="s">
        <v>90</v>
      </c>
      <c r="Q559" t="s">
        <v>90</v>
      </c>
      <c r="R559" t="s">
        <v>90</v>
      </c>
      <c r="S559" t="s">
        <v>90</v>
      </c>
      <c r="T559" t="s">
        <v>90</v>
      </c>
      <c r="U559" t="s">
        <v>90</v>
      </c>
      <c r="V559" t="s">
        <v>256</v>
      </c>
      <c r="W559" s="45"/>
      <c r="X559" s="45"/>
      <c r="Y559" s="45"/>
      <c r="Z559" s="45"/>
    </row>
    <row r="560" spans="1:26" ht="20">
      <c r="A560" s="46">
        <v>37605</v>
      </c>
      <c r="B560" s="45" t="s">
        <v>1054</v>
      </c>
      <c r="C560" s="45" t="s">
        <v>90</v>
      </c>
      <c r="D560" s="47">
        <v>2</v>
      </c>
      <c r="E560" s="47" t="s">
        <v>413</v>
      </c>
      <c r="F560" s="47" t="s">
        <v>418</v>
      </c>
      <c r="G560" s="56">
        <v>4</v>
      </c>
      <c r="H560" s="90" t="s">
        <v>615</v>
      </c>
      <c r="I560" s="48">
        <v>2</v>
      </c>
      <c r="J560" s="47" t="s">
        <v>458</v>
      </c>
      <c r="N560" t="s">
        <v>90</v>
      </c>
      <c r="O560" t="s">
        <v>90</v>
      </c>
      <c r="P560" t="s">
        <v>90</v>
      </c>
      <c r="Q560" t="s">
        <v>90</v>
      </c>
      <c r="R560" t="s">
        <v>90</v>
      </c>
      <c r="S560" t="s">
        <v>90</v>
      </c>
      <c r="T560" t="s">
        <v>90</v>
      </c>
      <c r="U560" t="s">
        <v>90</v>
      </c>
      <c r="V560" t="s">
        <v>256</v>
      </c>
      <c r="W560" s="45"/>
      <c r="X560" s="45"/>
      <c r="Y560" s="45"/>
      <c r="Z560" s="45"/>
    </row>
    <row r="561" spans="1:26" ht="20">
      <c r="A561" s="46">
        <v>37606</v>
      </c>
      <c r="B561" s="45" t="s">
        <v>1055</v>
      </c>
      <c r="C561" s="45" t="s">
        <v>90</v>
      </c>
      <c r="D561" s="47">
        <v>2</v>
      </c>
      <c r="E561" s="47" t="s">
        <v>469</v>
      </c>
      <c r="F561" s="47" t="s">
        <v>418</v>
      </c>
      <c r="G561" s="47">
        <v>4</v>
      </c>
      <c r="H561" s="90" t="s">
        <v>616</v>
      </c>
      <c r="I561" s="48">
        <v>2</v>
      </c>
      <c r="J561" s="47" t="s">
        <v>458</v>
      </c>
      <c r="N561" t="s">
        <v>90</v>
      </c>
      <c r="O561" t="s">
        <v>90</v>
      </c>
      <c r="P561" t="s">
        <v>90</v>
      </c>
      <c r="Q561" t="s">
        <v>90</v>
      </c>
      <c r="R561" t="s">
        <v>90</v>
      </c>
      <c r="S561" t="s">
        <v>90</v>
      </c>
      <c r="T561" t="s">
        <v>90</v>
      </c>
      <c r="U561" t="s">
        <v>90</v>
      </c>
      <c r="V561" t="s">
        <v>256</v>
      </c>
      <c r="W561" s="45"/>
      <c r="X561" s="45"/>
      <c r="Y561" s="45"/>
      <c r="Z561" s="45"/>
    </row>
    <row r="562" spans="1:26" ht="20">
      <c r="A562" s="46">
        <v>37607</v>
      </c>
      <c r="B562" s="45" t="s">
        <v>1056</v>
      </c>
      <c r="C562" s="45" t="s">
        <v>90</v>
      </c>
      <c r="D562" s="47">
        <v>2</v>
      </c>
      <c r="E562" s="47" t="s">
        <v>413</v>
      </c>
      <c r="F562" s="47" t="s">
        <v>421</v>
      </c>
      <c r="G562" s="47">
        <v>2</v>
      </c>
      <c r="H562" s="90" t="s">
        <v>617</v>
      </c>
      <c r="I562" s="48">
        <v>2</v>
      </c>
      <c r="J562" s="47" t="s">
        <v>458</v>
      </c>
      <c r="N562" t="s">
        <v>90</v>
      </c>
      <c r="O562" t="s">
        <v>90</v>
      </c>
      <c r="P562" t="s">
        <v>90</v>
      </c>
      <c r="Q562" t="s">
        <v>90</v>
      </c>
      <c r="R562" t="s">
        <v>90</v>
      </c>
      <c r="S562" t="s">
        <v>90</v>
      </c>
      <c r="T562" t="s">
        <v>90</v>
      </c>
      <c r="U562" t="s">
        <v>90</v>
      </c>
      <c r="V562" t="s">
        <v>256</v>
      </c>
      <c r="W562" s="45"/>
      <c r="X562" s="45"/>
      <c r="Y562" s="45"/>
      <c r="Z562" s="45"/>
    </row>
    <row r="563" spans="1:26" ht="20">
      <c r="A563" s="46">
        <v>37608</v>
      </c>
      <c r="B563" s="45" t="s">
        <v>1057</v>
      </c>
      <c r="C563" s="45" t="s">
        <v>90</v>
      </c>
      <c r="D563" s="47">
        <v>2</v>
      </c>
      <c r="E563" s="47" t="s">
        <v>469</v>
      </c>
      <c r="F563" s="47" t="s">
        <v>418</v>
      </c>
      <c r="G563" s="47">
        <v>5</v>
      </c>
      <c r="H563" s="90" t="s">
        <v>618</v>
      </c>
      <c r="I563" s="48">
        <v>2</v>
      </c>
      <c r="J563" s="74" t="s">
        <v>460</v>
      </c>
      <c r="N563" t="s">
        <v>90</v>
      </c>
      <c r="O563" t="s">
        <v>90</v>
      </c>
      <c r="P563" t="s">
        <v>90</v>
      </c>
      <c r="Q563" t="s">
        <v>90</v>
      </c>
      <c r="R563" t="s">
        <v>90</v>
      </c>
      <c r="S563" t="s">
        <v>90</v>
      </c>
      <c r="T563" t="s">
        <v>90</v>
      </c>
      <c r="U563" t="s">
        <v>90</v>
      </c>
      <c r="V563" t="s">
        <v>256</v>
      </c>
      <c r="W563" s="45"/>
      <c r="X563" s="45"/>
      <c r="Y563" s="45"/>
      <c r="Z563" s="45"/>
    </row>
    <row r="564" spans="1:26" ht="20">
      <c r="A564" s="46">
        <v>37609</v>
      </c>
      <c r="B564" s="45" t="s">
        <v>1058</v>
      </c>
      <c r="C564" s="45" t="s">
        <v>90</v>
      </c>
      <c r="D564" s="47">
        <v>2</v>
      </c>
      <c r="E564" s="47" t="s">
        <v>413</v>
      </c>
      <c r="F564" s="47" t="s">
        <v>418</v>
      </c>
      <c r="G564" s="47">
        <v>5</v>
      </c>
      <c r="H564" s="90" t="s">
        <v>619</v>
      </c>
      <c r="I564" s="48">
        <v>2</v>
      </c>
      <c r="J564" s="47" t="s">
        <v>458</v>
      </c>
      <c r="N564" t="s">
        <v>90</v>
      </c>
      <c r="O564" t="s">
        <v>90</v>
      </c>
      <c r="P564" t="s">
        <v>90</v>
      </c>
      <c r="Q564" t="s">
        <v>90</v>
      </c>
      <c r="R564" t="s">
        <v>90</v>
      </c>
      <c r="S564" t="s">
        <v>90</v>
      </c>
      <c r="T564" t="s">
        <v>90</v>
      </c>
      <c r="U564" t="s">
        <v>90</v>
      </c>
      <c r="V564" t="s">
        <v>256</v>
      </c>
      <c r="W564" s="45"/>
      <c r="X564" s="45"/>
      <c r="Y564" s="45"/>
      <c r="Z564" s="45"/>
    </row>
    <row r="565" spans="1:26" ht="20">
      <c r="A565" s="46">
        <v>37610</v>
      </c>
      <c r="B565" s="45" t="s">
        <v>1059</v>
      </c>
      <c r="C565" s="45" t="s">
        <v>90</v>
      </c>
      <c r="D565" s="47">
        <v>2</v>
      </c>
      <c r="E565" s="47" t="s">
        <v>469</v>
      </c>
      <c r="F565" s="47" t="s">
        <v>433</v>
      </c>
      <c r="G565" s="47">
        <v>4</v>
      </c>
      <c r="H565" s="90" t="s">
        <v>609</v>
      </c>
      <c r="I565" s="48">
        <v>2</v>
      </c>
      <c r="J565" s="47" t="s">
        <v>458</v>
      </c>
      <c r="N565" t="s">
        <v>90</v>
      </c>
      <c r="O565" t="s">
        <v>90</v>
      </c>
      <c r="P565" t="s">
        <v>90</v>
      </c>
      <c r="Q565" t="s">
        <v>90</v>
      </c>
      <c r="R565" t="s">
        <v>90</v>
      </c>
      <c r="S565" t="s">
        <v>90</v>
      </c>
      <c r="T565" t="s">
        <v>90</v>
      </c>
      <c r="U565" t="s">
        <v>90</v>
      </c>
      <c r="V565" t="s">
        <v>256</v>
      </c>
      <c r="W565" s="45"/>
      <c r="X565" s="45"/>
      <c r="Y565" s="45"/>
      <c r="Z565" s="45"/>
    </row>
    <row r="566" spans="1:26" ht="20">
      <c r="A566" s="46">
        <v>37611</v>
      </c>
      <c r="B566" s="45" t="s">
        <v>1060</v>
      </c>
      <c r="C566" s="45" t="s">
        <v>90</v>
      </c>
      <c r="D566" s="47">
        <v>1</v>
      </c>
      <c r="E566" s="47" t="s">
        <v>413</v>
      </c>
      <c r="F566" s="47" t="s">
        <v>421</v>
      </c>
      <c r="G566" s="47" t="s">
        <v>534</v>
      </c>
      <c r="H566" s="90" t="s">
        <v>572</v>
      </c>
      <c r="I566" s="48">
        <v>3</v>
      </c>
      <c r="J566" s="47" t="s">
        <v>458</v>
      </c>
      <c r="N566" t="s">
        <v>90</v>
      </c>
      <c r="O566" t="s">
        <v>90</v>
      </c>
      <c r="P566" t="s">
        <v>90</v>
      </c>
      <c r="Q566" t="s">
        <v>90</v>
      </c>
      <c r="R566" t="s">
        <v>90</v>
      </c>
      <c r="S566" t="s">
        <v>90</v>
      </c>
      <c r="T566" t="s">
        <v>90</v>
      </c>
      <c r="U566" t="s">
        <v>90</v>
      </c>
      <c r="V566" t="s">
        <v>256</v>
      </c>
      <c r="W566" s="45"/>
      <c r="X566" s="45"/>
      <c r="Y566" s="45"/>
      <c r="Z566" s="45"/>
    </row>
    <row r="567" spans="1:26" ht="20">
      <c r="A567" s="46">
        <v>37612</v>
      </c>
      <c r="B567" s="45" t="s">
        <v>1061</v>
      </c>
      <c r="C567" s="45" t="s">
        <v>90</v>
      </c>
      <c r="D567" s="47">
        <v>1</v>
      </c>
      <c r="E567" s="47" t="s">
        <v>469</v>
      </c>
      <c r="F567" s="47" t="s">
        <v>421</v>
      </c>
      <c r="G567" s="47" t="s">
        <v>534</v>
      </c>
      <c r="H567" s="90" t="s">
        <v>573</v>
      </c>
      <c r="I567" s="48">
        <v>3</v>
      </c>
      <c r="J567" s="47" t="s">
        <v>458</v>
      </c>
      <c r="N567" t="s">
        <v>90</v>
      </c>
      <c r="O567" t="s">
        <v>90</v>
      </c>
      <c r="P567" t="s">
        <v>90</v>
      </c>
      <c r="Q567" t="s">
        <v>90</v>
      </c>
      <c r="R567" t="s">
        <v>90</v>
      </c>
      <c r="S567" t="s">
        <v>90</v>
      </c>
      <c r="T567" t="s">
        <v>90</v>
      </c>
      <c r="U567" t="s">
        <v>90</v>
      </c>
      <c r="V567" t="s">
        <v>256</v>
      </c>
      <c r="W567" s="45"/>
      <c r="X567" s="45"/>
      <c r="Y567" s="45"/>
      <c r="Z567" s="45"/>
    </row>
    <row r="568" spans="1:26" ht="20">
      <c r="A568" s="46">
        <v>37613</v>
      </c>
      <c r="B568" s="45" t="s">
        <v>1062</v>
      </c>
      <c r="C568" s="45" t="s">
        <v>90</v>
      </c>
      <c r="D568" s="47">
        <v>2</v>
      </c>
      <c r="E568" s="47" t="s">
        <v>461</v>
      </c>
      <c r="F568" s="47" t="s">
        <v>414</v>
      </c>
      <c r="G568" s="47">
        <v>1</v>
      </c>
      <c r="H568" s="90" t="s">
        <v>574</v>
      </c>
      <c r="I568" s="48">
        <v>3</v>
      </c>
      <c r="J568" s="47" t="s">
        <v>458</v>
      </c>
      <c r="N568" t="s">
        <v>90</v>
      </c>
      <c r="O568" t="s">
        <v>90</v>
      </c>
      <c r="P568" t="s">
        <v>90</v>
      </c>
      <c r="Q568" t="s">
        <v>90</v>
      </c>
      <c r="R568" t="s">
        <v>90</v>
      </c>
      <c r="S568" t="s">
        <v>90</v>
      </c>
      <c r="T568" t="s">
        <v>90</v>
      </c>
      <c r="U568" t="s">
        <v>90</v>
      </c>
      <c r="V568" t="s">
        <v>256</v>
      </c>
      <c r="W568" s="45"/>
      <c r="X568" s="45"/>
      <c r="Y568" s="45"/>
      <c r="Z568" s="45"/>
    </row>
    <row r="569" spans="1:26" ht="20">
      <c r="A569" s="46">
        <v>37614</v>
      </c>
      <c r="B569" s="45" t="s">
        <v>1063</v>
      </c>
      <c r="C569" s="45" t="s">
        <v>90</v>
      </c>
      <c r="D569" s="47">
        <v>2</v>
      </c>
      <c r="E569" s="47" t="s">
        <v>434</v>
      </c>
      <c r="F569" s="47" t="s">
        <v>533</v>
      </c>
      <c r="G569" s="47">
        <v>4</v>
      </c>
      <c r="H569" s="90" t="s">
        <v>575</v>
      </c>
      <c r="I569" s="48">
        <v>3</v>
      </c>
      <c r="J569" s="47" t="s">
        <v>458</v>
      </c>
      <c r="N569" t="s">
        <v>90</v>
      </c>
      <c r="O569" t="s">
        <v>90</v>
      </c>
      <c r="P569" t="s">
        <v>90</v>
      </c>
      <c r="Q569" t="s">
        <v>90</v>
      </c>
      <c r="R569" t="s">
        <v>90</v>
      </c>
      <c r="S569" t="s">
        <v>90</v>
      </c>
      <c r="T569" t="s">
        <v>90</v>
      </c>
      <c r="U569" t="s">
        <v>90</v>
      </c>
      <c r="V569" t="s">
        <v>256</v>
      </c>
      <c r="W569" s="45"/>
      <c r="X569" s="45"/>
      <c r="Y569" s="45"/>
      <c r="Z569" s="45"/>
    </row>
    <row r="570" spans="1:26" ht="20">
      <c r="A570" s="46">
        <v>37615</v>
      </c>
      <c r="B570" s="45" t="s">
        <v>1064</v>
      </c>
      <c r="C570" s="45" t="s">
        <v>90</v>
      </c>
      <c r="D570" s="47">
        <v>2</v>
      </c>
      <c r="E570" s="47" t="s">
        <v>461</v>
      </c>
      <c r="F570" s="47" t="s">
        <v>470</v>
      </c>
      <c r="G570" s="47">
        <v>2</v>
      </c>
      <c r="H570" s="90" t="s">
        <v>576</v>
      </c>
      <c r="I570" s="48">
        <v>3</v>
      </c>
      <c r="J570" s="56" t="s">
        <v>458</v>
      </c>
      <c r="N570" t="s">
        <v>90</v>
      </c>
      <c r="O570" t="s">
        <v>90</v>
      </c>
      <c r="P570" t="s">
        <v>90</v>
      </c>
      <c r="Q570" t="s">
        <v>90</v>
      </c>
      <c r="R570" t="s">
        <v>90</v>
      </c>
      <c r="S570" t="s">
        <v>90</v>
      </c>
      <c r="T570" t="s">
        <v>90</v>
      </c>
      <c r="U570" t="s">
        <v>90</v>
      </c>
      <c r="V570" t="s">
        <v>256</v>
      </c>
      <c r="W570" s="45"/>
      <c r="X570" s="45"/>
      <c r="Y570" s="45"/>
      <c r="Z570" s="45"/>
    </row>
    <row r="571" spans="1:26" ht="20">
      <c r="A571" s="46">
        <v>37617</v>
      </c>
      <c r="B571" s="45" t="s">
        <v>1065</v>
      </c>
      <c r="C571" s="45" t="s">
        <v>90</v>
      </c>
      <c r="D571" s="47">
        <v>2</v>
      </c>
      <c r="E571" s="47" t="s">
        <v>461</v>
      </c>
      <c r="F571" s="47" t="s">
        <v>418</v>
      </c>
      <c r="G571" s="47">
        <v>1</v>
      </c>
      <c r="H571" s="90" t="s">
        <v>577</v>
      </c>
      <c r="I571" s="48">
        <v>3</v>
      </c>
      <c r="J571" s="47" t="s">
        <v>473</v>
      </c>
      <c r="N571" t="s">
        <v>90</v>
      </c>
      <c r="O571" t="s">
        <v>90</v>
      </c>
      <c r="P571" t="s">
        <v>90</v>
      </c>
      <c r="Q571" t="s">
        <v>90</v>
      </c>
      <c r="R571" t="s">
        <v>90</v>
      </c>
      <c r="S571" t="s">
        <v>90</v>
      </c>
      <c r="T571" t="s">
        <v>90</v>
      </c>
      <c r="U571" t="s">
        <v>90</v>
      </c>
      <c r="V571" t="s">
        <v>256</v>
      </c>
      <c r="W571" s="45"/>
      <c r="X571" s="45"/>
      <c r="Y571" s="45"/>
      <c r="Z571" s="45"/>
    </row>
    <row r="572" spans="1:26" ht="20">
      <c r="A572" s="46">
        <v>37618</v>
      </c>
      <c r="B572" s="45" t="s">
        <v>1066</v>
      </c>
      <c r="C572" s="45" t="s">
        <v>90</v>
      </c>
      <c r="D572" s="47">
        <v>2</v>
      </c>
      <c r="E572" s="47" t="s">
        <v>469</v>
      </c>
      <c r="F572" s="47" t="s">
        <v>470</v>
      </c>
      <c r="G572" s="47">
        <v>5</v>
      </c>
      <c r="H572" s="90" t="s">
        <v>578</v>
      </c>
      <c r="I572" s="48">
        <v>3</v>
      </c>
      <c r="J572" s="47" t="s">
        <v>458</v>
      </c>
      <c r="N572" t="s">
        <v>90</v>
      </c>
      <c r="O572" t="s">
        <v>90</v>
      </c>
      <c r="P572" t="s">
        <v>90</v>
      </c>
      <c r="Q572" t="s">
        <v>90</v>
      </c>
      <c r="R572" t="s">
        <v>90</v>
      </c>
      <c r="S572" t="s">
        <v>90</v>
      </c>
      <c r="T572" t="s">
        <v>90</v>
      </c>
      <c r="U572" t="s">
        <v>90</v>
      </c>
      <c r="V572" t="s">
        <v>256</v>
      </c>
      <c r="W572" s="45"/>
      <c r="X572" s="45"/>
      <c r="Y572" s="45"/>
      <c r="Z572" s="45"/>
    </row>
    <row r="573" spans="1:26" ht="20">
      <c r="A573" s="46">
        <v>37619</v>
      </c>
      <c r="B573" s="45" t="s">
        <v>1067</v>
      </c>
      <c r="C573" s="45" t="s">
        <v>90</v>
      </c>
      <c r="D573" s="47">
        <v>2</v>
      </c>
      <c r="E573" s="47" t="s">
        <v>434</v>
      </c>
      <c r="F573" s="47" t="s">
        <v>418</v>
      </c>
      <c r="G573" s="47">
        <v>3</v>
      </c>
      <c r="H573" s="90" t="s">
        <v>579</v>
      </c>
      <c r="I573" s="48">
        <v>3</v>
      </c>
      <c r="J573" s="47" t="s">
        <v>458</v>
      </c>
      <c r="N573" t="s">
        <v>90</v>
      </c>
      <c r="O573" t="s">
        <v>90</v>
      </c>
      <c r="P573" t="s">
        <v>90</v>
      </c>
      <c r="Q573" t="s">
        <v>90</v>
      </c>
      <c r="R573" t="s">
        <v>90</v>
      </c>
      <c r="S573" t="s">
        <v>90</v>
      </c>
      <c r="T573" t="s">
        <v>90</v>
      </c>
      <c r="U573" t="s">
        <v>90</v>
      </c>
      <c r="V573" t="s">
        <v>256</v>
      </c>
      <c r="W573" s="45"/>
      <c r="X573" s="45"/>
      <c r="Y573" s="45"/>
      <c r="Z573" s="45"/>
    </row>
    <row r="574" spans="1:26" ht="20">
      <c r="A574" s="46">
        <v>37620</v>
      </c>
      <c r="B574" s="45" t="s">
        <v>1068</v>
      </c>
      <c r="C574" s="45" t="s">
        <v>90</v>
      </c>
      <c r="D574" s="47">
        <v>2</v>
      </c>
      <c r="E574" s="47" t="s">
        <v>434</v>
      </c>
      <c r="F574" s="47" t="s">
        <v>418</v>
      </c>
      <c r="G574" s="47">
        <v>3</v>
      </c>
      <c r="H574" s="90" t="s">
        <v>580</v>
      </c>
      <c r="I574" s="48">
        <v>2</v>
      </c>
      <c r="J574" s="47" t="s">
        <v>458</v>
      </c>
      <c r="N574" t="s">
        <v>90</v>
      </c>
      <c r="O574" t="s">
        <v>90</v>
      </c>
      <c r="P574" t="s">
        <v>90</v>
      </c>
      <c r="Q574" t="s">
        <v>90</v>
      </c>
      <c r="R574" t="s">
        <v>90</v>
      </c>
      <c r="S574" t="s">
        <v>90</v>
      </c>
      <c r="T574" t="s">
        <v>90</v>
      </c>
      <c r="U574" t="s">
        <v>90</v>
      </c>
      <c r="V574" t="s">
        <v>256</v>
      </c>
      <c r="W574" s="45"/>
      <c r="X574" s="45"/>
      <c r="Y574" s="45"/>
      <c r="Z574" s="45"/>
    </row>
    <row r="575" spans="1:26" ht="20">
      <c r="A575" s="46">
        <v>37621</v>
      </c>
      <c r="B575" s="45" t="s">
        <v>1069</v>
      </c>
      <c r="C575" s="45" t="s">
        <v>90</v>
      </c>
      <c r="D575" s="47">
        <v>2</v>
      </c>
      <c r="E575" s="47" t="s">
        <v>483</v>
      </c>
      <c r="F575" s="47" t="s">
        <v>418</v>
      </c>
      <c r="G575" s="47">
        <v>3</v>
      </c>
      <c r="H575" s="90" t="s">
        <v>581</v>
      </c>
      <c r="I575" s="48">
        <v>3</v>
      </c>
      <c r="J575" s="47" t="s">
        <v>458</v>
      </c>
      <c r="N575" t="s">
        <v>90</v>
      </c>
      <c r="O575" t="s">
        <v>90</v>
      </c>
      <c r="P575" t="s">
        <v>90</v>
      </c>
      <c r="Q575" t="s">
        <v>90</v>
      </c>
      <c r="R575" t="s">
        <v>90</v>
      </c>
      <c r="S575" t="s">
        <v>90</v>
      </c>
      <c r="T575" t="s">
        <v>90</v>
      </c>
      <c r="U575" t="s">
        <v>90</v>
      </c>
      <c r="V575" t="s">
        <v>256</v>
      </c>
      <c r="W575" s="45"/>
      <c r="X575" s="45"/>
      <c r="Y575" s="45"/>
      <c r="Z575" s="45"/>
    </row>
    <row r="576" spans="1:26" ht="20">
      <c r="A576" s="46">
        <v>37622</v>
      </c>
      <c r="B576" s="45" t="s">
        <v>1070</v>
      </c>
      <c r="C576" s="45" t="s">
        <v>90</v>
      </c>
      <c r="D576" s="47">
        <v>2</v>
      </c>
      <c r="E576" s="47" t="s">
        <v>469</v>
      </c>
      <c r="F576" s="47" t="s">
        <v>420</v>
      </c>
      <c r="G576" s="47">
        <v>4</v>
      </c>
      <c r="H576" s="90" t="s">
        <v>582</v>
      </c>
      <c r="I576" s="48" t="s">
        <v>541</v>
      </c>
      <c r="J576" s="47" t="s">
        <v>460</v>
      </c>
      <c r="N576" t="s">
        <v>90</v>
      </c>
      <c r="O576" t="s">
        <v>90</v>
      </c>
      <c r="P576" t="s">
        <v>90</v>
      </c>
      <c r="Q576" t="s">
        <v>90</v>
      </c>
      <c r="R576" t="s">
        <v>90</v>
      </c>
      <c r="S576" t="s">
        <v>90</v>
      </c>
      <c r="T576" t="s">
        <v>90</v>
      </c>
      <c r="U576" t="s">
        <v>90</v>
      </c>
      <c r="V576" t="s">
        <v>256</v>
      </c>
      <c r="W576" s="45"/>
      <c r="X576" s="45"/>
      <c r="Y576" s="45"/>
      <c r="Z576" s="45"/>
    </row>
    <row r="577" spans="1:26" ht="20">
      <c r="A577" s="46">
        <v>37624</v>
      </c>
      <c r="B577" s="45" t="s">
        <v>1071</v>
      </c>
      <c r="C577" s="45" t="s">
        <v>90</v>
      </c>
      <c r="D577" s="47">
        <v>1</v>
      </c>
      <c r="E577" s="47" t="s">
        <v>413</v>
      </c>
      <c r="F577" s="47" t="s">
        <v>414</v>
      </c>
      <c r="G577" s="47">
        <v>1</v>
      </c>
      <c r="H577" s="90" t="s">
        <v>584</v>
      </c>
      <c r="I577" s="48">
        <v>4</v>
      </c>
      <c r="J577" s="47" t="s">
        <v>458</v>
      </c>
      <c r="N577" t="s">
        <v>90</v>
      </c>
      <c r="O577" t="s">
        <v>90</v>
      </c>
      <c r="P577" t="s">
        <v>90</v>
      </c>
      <c r="Q577" t="s">
        <v>90</v>
      </c>
      <c r="R577" t="s">
        <v>90</v>
      </c>
      <c r="S577" t="s">
        <v>90</v>
      </c>
      <c r="T577" t="s">
        <v>90</v>
      </c>
      <c r="U577" t="s">
        <v>90</v>
      </c>
      <c r="V577" t="s">
        <v>256</v>
      </c>
      <c r="W577" s="45"/>
      <c r="X577" s="45"/>
      <c r="Y577" s="45"/>
      <c r="Z577" s="45"/>
    </row>
    <row r="578" spans="1:26" ht="20">
      <c r="A578" s="46">
        <v>37625</v>
      </c>
      <c r="B578" s="45" t="s">
        <v>1072</v>
      </c>
      <c r="C578" s="45" t="s">
        <v>90</v>
      </c>
      <c r="D578" s="47">
        <v>1</v>
      </c>
      <c r="E578" s="47" t="s">
        <v>413</v>
      </c>
      <c r="F578" s="47" t="s">
        <v>471</v>
      </c>
      <c r="G578" s="47"/>
      <c r="H578" s="90" t="s">
        <v>585</v>
      </c>
      <c r="I578" s="48">
        <v>2</v>
      </c>
      <c r="J578" s="47" t="s">
        <v>458</v>
      </c>
      <c r="N578" t="s">
        <v>90</v>
      </c>
      <c r="O578" t="s">
        <v>90</v>
      </c>
      <c r="P578" t="s">
        <v>90</v>
      </c>
      <c r="Q578" t="s">
        <v>90</v>
      </c>
      <c r="R578" t="s">
        <v>90</v>
      </c>
      <c r="S578" t="s">
        <v>90</v>
      </c>
      <c r="T578" t="s">
        <v>90</v>
      </c>
      <c r="U578" t="s">
        <v>90</v>
      </c>
      <c r="V578" t="s">
        <v>256</v>
      </c>
      <c r="W578" s="45"/>
      <c r="X578" s="45"/>
      <c r="Y578" s="45"/>
      <c r="Z578" s="45"/>
    </row>
    <row r="579" spans="1:26" ht="20">
      <c r="A579" s="46">
        <v>37627</v>
      </c>
      <c r="B579" s="45" t="s">
        <v>1073</v>
      </c>
      <c r="C579" s="45" t="s">
        <v>90</v>
      </c>
      <c r="D579" s="47">
        <v>1</v>
      </c>
      <c r="E579" s="47" t="s">
        <v>413</v>
      </c>
      <c r="F579" s="47" t="s">
        <v>471</v>
      </c>
      <c r="G579" s="47"/>
      <c r="H579" s="90" t="s">
        <v>587</v>
      </c>
      <c r="I579" s="48">
        <v>2</v>
      </c>
      <c r="J579" s="47" t="s">
        <v>458</v>
      </c>
      <c r="N579" t="s">
        <v>90</v>
      </c>
      <c r="O579" t="s">
        <v>90</v>
      </c>
      <c r="P579" t="s">
        <v>90</v>
      </c>
      <c r="Q579" t="s">
        <v>90</v>
      </c>
      <c r="R579" t="s">
        <v>90</v>
      </c>
      <c r="S579" t="s">
        <v>90</v>
      </c>
      <c r="T579" t="s">
        <v>90</v>
      </c>
      <c r="U579" t="s">
        <v>90</v>
      </c>
      <c r="V579" t="s">
        <v>256</v>
      </c>
      <c r="W579" s="45"/>
      <c r="X579" s="45"/>
      <c r="Y579" s="45"/>
      <c r="Z579" s="45"/>
    </row>
    <row r="580" spans="1:26" ht="20">
      <c r="A580" s="46">
        <v>37628</v>
      </c>
      <c r="B580" s="45" t="s">
        <v>1073</v>
      </c>
      <c r="C580" s="45"/>
      <c r="D580" s="47">
        <v>1</v>
      </c>
      <c r="E580" s="47" t="s">
        <v>413</v>
      </c>
      <c r="F580" s="47" t="s">
        <v>471</v>
      </c>
      <c r="G580" s="47"/>
      <c r="H580" s="90" t="s">
        <v>588</v>
      </c>
      <c r="I580" s="48">
        <v>2</v>
      </c>
      <c r="J580" s="47" t="s">
        <v>458</v>
      </c>
      <c r="N580" t="s">
        <v>90</v>
      </c>
      <c r="O580" t="s">
        <v>90</v>
      </c>
      <c r="P580" t="s">
        <v>90</v>
      </c>
      <c r="Q580" t="s">
        <v>90</v>
      </c>
      <c r="R580" t="s">
        <v>90</v>
      </c>
      <c r="S580" t="s">
        <v>90</v>
      </c>
      <c r="T580" t="s">
        <v>90</v>
      </c>
      <c r="U580" t="s">
        <v>90</v>
      </c>
      <c r="V580" t="s">
        <v>256</v>
      </c>
      <c r="W580" s="45"/>
      <c r="X580" s="45"/>
      <c r="Y580" s="45"/>
      <c r="Z580" s="45"/>
    </row>
    <row r="581" spans="1:26" ht="20">
      <c r="A581" s="46">
        <v>37630</v>
      </c>
      <c r="B581" s="45" t="s">
        <v>1074</v>
      </c>
      <c r="C581" s="45" t="s">
        <v>90</v>
      </c>
      <c r="D581" s="47">
        <v>1</v>
      </c>
      <c r="E581" s="47" t="s">
        <v>413</v>
      </c>
      <c r="F581" s="47" t="s">
        <v>414</v>
      </c>
      <c r="G581" s="47">
        <v>5</v>
      </c>
      <c r="H581" s="90" t="s">
        <v>589</v>
      </c>
      <c r="I581" s="48">
        <v>4</v>
      </c>
      <c r="J581" s="47" t="s">
        <v>518</v>
      </c>
      <c r="N581" t="s">
        <v>90</v>
      </c>
      <c r="O581" t="s">
        <v>90</v>
      </c>
      <c r="P581" t="s">
        <v>90</v>
      </c>
      <c r="Q581" t="s">
        <v>90</v>
      </c>
      <c r="R581" t="s">
        <v>90</v>
      </c>
      <c r="S581" t="s">
        <v>90</v>
      </c>
      <c r="T581" t="s">
        <v>90</v>
      </c>
      <c r="U581" t="s">
        <v>90</v>
      </c>
      <c r="V581" t="s">
        <v>256</v>
      </c>
      <c r="W581" s="45"/>
      <c r="X581" s="45"/>
      <c r="Y581" s="45"/>
      <c r="Z581" s="45"/>
    </row>
    <row r="582" spans="1:26" ht="20">
      <c r="A582" s="46">
        <v>37632</v>
      </c>
      <c r="B582" s="45" t="s">
        <v>1075</v>
      </c>
      <c r="C582" s="45" t="s">
        <v>90</v>
      </c>
      <c r="D582" s="47">
        <v>1</v>
      </c>
      <c r="E582" s="47" t="s">
        <v>483</v>
      </c>
      <c r="F582" s="47" t="s">
        <v>414</v>
      </c>
      <c r="G582" s="47">
        <v>5</v>
      </c>
      <c r="H582" s="90" t="s">
        <v>591</v>
      </c>
      <c r="I582" s="48">
        <v>4</v>
      </c>
      <c r="J582" s="47" t="s">
        <v>203</v>
      </c>
      <c r="N582" t="s">
        <v>90</v>
      </c>
      <c r="O582" t="s">
        <v>90</v>
      </c>
      <c r="P582" t="s">
        <v>90</v>
      </c>
      <c r="Q582" t="s">
        <v>90</v>
      </c>
      <c r="R582" t="s">
        <v>90</v>
      </c>
      <c r="S582" t="s">
        <v>90</v>
      </c>
      <c r="T582" t="s">
        <v>90</v>
      </c>
      <c r="U582" t="s">
        <v>90</v>
      </c>
      <c r="V582" t="s">
        <v>256</v>
      </c>
      <c r="W582" s="45"/>
      <c r="X582" s="45"/>
      <c r="Y582" s="45"/>
      <c r="Z582" s="45"/>
    </row>
    <row r="583" spans="1:26" ht="20">
      <c r="A583" s="46">
        <v>37633</v>
      </c>
      <c r="B583" s="45" t="s">
        <v>1076</v>
      </c>
      <c r="C583" s="45" t="s">
        <v>90</v>
      </c>
      <c r="D583" s="47">
        <v>1</v>
      </c>
      <c r="E583" s="47" t="s">
        <v>413</v>
      </c>
      <c r="F583" s="47" t="s">
        <v>414</v>
      </c>
      <c r="G583" s="47">
        <v>5</v>
      </c>
      <c r="H583" s="90" t="s">
        <v>593</v>
      </c>
      <c r="I583" s="48">
        <v>4</v>
      </c>
      <c r="J583" s="47" t="s">
        <v>203</v>
      </c>
      <c r="N583" t="s">
        <v>90</v>
      </c>
      <c r="O583" t="s">
        <v>90</v>
      </c>
      <c r="P583" t="s">
        <v>90</v>
      </c>
      <c r="Q583" t="s">
        <v>90</v>
      </c>
      <c r="R583" t="s">
        <v>90</v>
      </c>
      <c r="S583" t="s">
        <v>90</v>
      </c>
      <c r="T583" t="s">
        <v>90</v>
      </c>
      <c r="U583" t="s">
        <v>90</v>
      </c>
      <c r="V583" t="s">
        <v>256</v>
      </c>
      <c r="W583" s="45"/>
      <c r="X583" s="45"/>
      <c r="Y583" s="45"/>
      <c r="Z583" s="45"/>
    </row>
    <row r="584" spans="1:26" ht="20">
      <c r="A584" s="46">
        <v>37634</v>
      </c>
      <c r="B584" s="45" t="s">
        <v>1077</v>
      </c>
      <c r="C584" s="45" t="s">
        <v>90</v>
      </c>
      <c r="D584" s="47">
        <v>1</v>
      </c>
      <c r="E584" s="47" t="s">
        <v>483</v>
      </c>
      <c r="F584" s="47" t="s">
        <v>414</v>
      </c>
      <c r="G584" s="47">
        <v>5</v>
      </c>
      <c r="H584" s="90" t="s">
        <v>595</v>
      </c>
      <c r="I584" s="48">
        <v>4</v>
      </c>
      <c r="J584" s="47" t="s">
        <v>203</v>
      </c>
      <c r="N584" t="s">
        <v>90</v>
      </c>
      <c r="O584" t="s">
        <v>90</v>
      </c>
      <c r="P584" t="s">
        <v>90</v>
      </c>
      <c r="Q584" t="s">
        <v>90</v>
      </c>
      <c r="R584" t="s">
        <v>90</v>
      </c>
      <c r="S584" t="s">
        <v>90</v>
      </c>
      <c r="T584" t="s">
        <v>90</v>
      </c>
      <c r="U584" t="s">
        <v>90</v>
      </c>
      <c r="V584" t="s">
        <v>256</v>
      </c>
      <c r="W584" s="45"/>
      <c r="X584" s="45"/>
      <c r="Y584" s="45"/>
      <c r="Z584" s="45"/>
    </row>
    <row r="585" spans="1:26" ht="20">
      <c r="A585" s="46">
        <v>37635</v>
      </c>
      <c r="B585" s="45" t="s">
        <v>1078</v>
      </c>
      <c r="C585" s="45"/>
      <c r="D585" s="47">
        <v>1</v>
      </c>
      <c r="E585" s="47" t="s">
        <v>413</v>
      </c>
      <c r="F585" s="47" t="s">
        <v>418</v>
      </c>
      <c r="G585" s="47">
        <v>6</v>
      </c>
      <c r="H585" s="90" t="s">
        <v>597</v>
      </c>
      <c r="I585" s="48">
        <v>4</v>
      </c>
      <c r="J585" s="47" t="s">
        <v>460</v>
      </c>
      <c r="N585" t="s">
        <v>90</v>
      </c>
      <c r="O585" t="s">
        <v>90</v>
      </c>
      <c r="P585" t="s">
        <v>90</v>
      </c>
      <c r="Q585" t="s">
        <v>90</v>
      </c>
      <c r="R585" t="s">
        <v>90</v>
      </c>
      <c r="S585" t="s">
        <v>90</v>
      </c>
      <c r="T585" t="s">
        <v>90</v>
      </c>
      <c r="U585" t="s">
        <v>90</v>
      </c>
      <c r="V585" t="s">
        <v>256</v>
      </c>
      <c r="W585" s="45"/>
      <c r="X585" s="45"/>
      <c r="Y585" s="45"/>
      <c r="Z585" s="45"/>
    </row>
    <row r="586" spans="1:26" ht="20">
      <c r="A586" s="46">
        <v>37638</v>
      </c>
      <c r="B586" s="45" t="s">
        <v>1079</v>
      </c>
      <c r="C586" s="45"/>
      <c r="D586" s="47">
        <v>1</v>
      </c>
      <c r="E586" s="47" t="s">
        <v>483</v>
      </c>
      <c r="F586" s="47" t="s">
        <v>414</v>
      </c>
      <c r="G586" s="47">
        <v>5</v>
      </c>
      <c r="H586" s="90" t="s">
        <v>600</v>
      </c>
      <c r="I586" s="48">
        <v>4</v>
      </c>
      <c r="J586" s="47" t="s">
        <v>203</v>
      </c>
      <c r="N586" t="s">
        <v>90</v>
      </c>
      <c r="O586" t="s">
        <v>90</v>
      </c>
      <c r="P586" t="s">
        <v>90</v>
      </c>
      <c r="Q586" t="s">
        <v>90</v>
      </c>
      <c r="R586" t="s">
        <v>90</v>
      </c>
      <c r="S586" t="s">
        <v>90</v>
      </c>
      <c r="T586" t="s">
        <v>90</v>
      </c>
      <c r="U586" t="s">
        <v>90</v>
      </c>
      <c r="V586" t="s">
        <v>256</v>
      </c>
      <c r="W586" s="45"/>
      <c r="X586" s="45"/>
      <c r="Y586" s="45"/>
      <c r="Z586" s="45"/>
    </row>
    <row r="587" spans="1:26" ht="20">
      <c r="A587" s="46">
        <v>37639</v>
      </c>
      <c r="B587" s="45" t="s">
        <v>1080</v>
      </c>
      <c r="C587" s="45" t="s">
        <v>90</v>
      </c>
      <c r="D587" s="47">
        <v>1</v>
      </c>
      <c r="E587" s="47" t="s">
        <v>413</v>
      </c>
      <c r="F587" s="47" t="s">
        <v>414</v>
      </c>
      <c r="G587" s="47">
        <v>5</v>
      </c>
      <c r="H587" s="90" t="s">
        <v>601</v>
      </c>
      <c r="I587" s="48">
        <v>4</v>
      </c>
      <c r="J587" s="47" t="s">
        <v>203</v>
      </c>
      <c r="N587" t="s">
        <v>90</v>
      </c>
      <c r="O587" t="s">
        <v>90</v>
      </c>
      <c r="P587" t="s">
        <v>90</v>
      </c>
      <c r="Q587" t="s">
        <v>90</v>
      </c>
      <c r="R587" t="s">
        <v>90</v>
      </c>
      <c r="S587" t="s">
        <v>90</v>
      </c>
      <c r="T587" t="s">
        <v>90</v>
      </c>
      <c r="U587" t="s">
        <v>90</v>
      </c>
      <c r="V587" t="s">
        <v>256</v>
      </c>
      <c r="W587" s="45"/>
      <c r="X587" s="45"/>
      <c r="Y587" s="45"/>
      <c r="Z587" s="45"/>
    </row>
    <row r="588" spans="1:26" ht="20">
      <c r="A588" s="46">
        <v>37642</v>
      </c>
      <c r="B588" s="45" t="s">
        <v>1081</v>
      </c>
      <c r="C588" s="45"/>
      <c r="D588" s="47">
        <v>1</v>
      </c>
      <c r="E588" s="47" t="s">
        <v>483</v>
      </c>
      <c r="F588" s="47" t="s">
        <v>414</v>
      </c>
      <c r="G588" s="47">
        <v>5</v>
      </c>
      <c r="H588" s="90" t="s">
        <v>603</v>
      </c>
      <c r="I588" s="48">
        <v>4</v>
      </c>
      <c r="J588" s="47" t="s">
        <v>203</v>
      </c>
      <c r="N588" t="s">
        <v>90</v>
      </c>
      <c r="O588" t="s">
        <v>90</v>
      </c>
      <c r="P588" t="s">
        <v>90</v>
      </c>
      <c r="Q588" t="s">
        <v>90</v>
      </c>
      <c r="R588" t="s">
        <v>90</v>
      </c>
      <c r="S588" t="s">
        <v>90</v>
      </c>
      <c r="T588" t="s">
        <v>90</v>
      </c>
      <c r="U588" t="s">
        <v>90</v>
      </c>
      <c r="V588" t="s">
        <v>256</v>
      </c>
      <c r="W588" s="45"/>
      <c r="X588" s="45"/>
      <c r="Y588" s="45"/>
      <c r="Z588" s="45"/>
    </row>
    <row r="589" spans="1:26" ht="20">
      <c r="A589" s="46">
        <v>37643</v>
      </c>
      <c r="B589" s="45" t="s">
        <v>1082</v>
      </c>
      <c r="C589" s="45" t="s">
        <v>90</v>
      </c>
      <c r="D589" s="47">
        <v>1</v>
      </c>
      <c r="E589" s="47" t="s">
        <v>413</v>
      </c>
      <c r="F589" s="47" t="s">
        <v>414</v>
      </c>
      <c r="G589" s="47">
        <v>5</v>
      </c>
      <c r="H589" s="90" t="s">
        <v>604</v>
      </c>
      <c r="I589" s="48">
        <v>4</v>
      </c>
      <c r="J589" s="47" t="s">
        <v>203</v>
      </c>
      <c r="N589" t="s">
        <v>90</v>
      </c>
      <c r="O589" t="s">
        <v>90</v>
      </c>
      <c r="P589" t="s">
        <v>90</v>
      </c>
      <c r="Q589" t="s">
        <v>90</v>
      </c>
      <c r="R589" t="s">
        <v>90</v>
      </c>
      <c r="S589" t="s">
        <v>90</v>
      </c>
      <c r="T589" t="s">
        <v>90</v>
      </c>
      <c r="U589" t="s">
        <v>90</v>
      </c>
      <c r="V589" t="s">
        <v>256</v>
      </c>
      <c r="W589" s="45"/>
      <c r="X589" s="45"/>
      <c r="Y589" s="45"/>
      <c r="Z589" s="45"/>
    </row>
    <row r="590" spans="1:26" ht="20">
      <c r="A590" s="46">
        <v>37646</v>
      </c>
      <c r="B590" s="45" t="s">
        <v>1083</v>
      </c>
      <c r="C590" s="45" t="s">
        <v>90</v>
      </c>
      <c r="D590" s="47">
        <v>1</v>
      </c>
      <c r="E590" s="47" t="s">
        <v>483</v>
      </c>
      <c r="F590" s="47" t="s">
        <v>414</v>
      </c>
      <c r="G590" s="47">
        <v>5</v>
      </c>
      <c r="H590" s="90" t="s">
        <v>607</v>
      </c>
      <c r="I590" s="48">
        <v>4</v>
      </c>
      <c r="J590" s="47" t="s">
        <v>203</v>
      </c>
      <c r="N590" t="s">
        <v>90</v>
      </c>
      <c r="O590" t="s">
        <v>90</v>
      </c>
      <c r="P590" t="s">
        <v>90</v>
      </c>
      <c r="Q590" t="s">
        <v>90</v>
      </c>
      <c r="R590" t="s">
        <v>90</v>
      </c>
      <c r="S590" t="s">
        <v>90</v>
      </c>
      <c r="T590" t="s">
        <v>90</v>
      </c>
      <c r="U590" t="s">
        <v>90</v>
      </c>
      <c r="V590" t="s">
        <v>256</v>
      </c>
      <c r="W590" s="45"/>
      <c r="X590" s="45"/>
      <c r="Y590" s="45"/>
      <c r="Z590" s="45"/>
    </row>
    <row r="591" spans="1:26" ht="20">
      <c r="A591" s="46">
        <v>37650</v>
      </c>
      <c r="B591" s="45" t="s">
        <v>1084</v>
      </c>
      <c r="C591" s="45"/>
      <c r="D591" s="47">
        <v>1</v>
      </c>
      <c r="E591" s="47" t="s">
        <v>413</v>
      </c>
      <c r="F591" s="47" t="s">
        <v>433</v>
      </c>
      <c r="G591" s="47">
        <v>6</v>
      </c>
      <c r="H591" s="90" t="s">
        <v>610</v>
      </c>
      <c r="I591" s="48">
        <v>4</v>
      </c>
      <c r="J591" s="47" t="s">
        <v>518</v>
      </c>
      <c r="N591" t="s">
        <v>90</v>
      </c>
      <c r="O591" t="s">
        <v>90</v>
      </c>
      <c r="P591" t="s">
        <v>90</v>
      </c>
      <c r="Q591" t="s">
        <v>90</v>
      </c>
      <c r="R591" t="s">
        <v>90</v>
      </c>
      <c r="S591" t="s">
        <v>90</v>
      </c>
      <c r="T591" t="s">
        <v>90</v>
      </c>
      <c r="U591" t="s">
        <v>90</v>
      </c>
      <c r="V591" t="s">
        <v>256</v>
      </c>
      <c r="W591" s="45"/>
      <c r="X591" s="45"/>
      <c r="Y591" s="45"/>
      <c r="Z591" s="45"/>
    </row>
    <row r="592" spans="1:26" ht="20">
      <c r="A592" s="46">
        <v>37651</v>
      </c>
      <c r="B592" s="45" t="s">
        <v>1085</v>
      </c>
      <c r="C592" s="45" t="s">
        <v>90</v>
      </c>
      <c r="D592" s="47">
        <v>1</v>
      </c>
      <c r="E592" s="47" t="s">
        <v>413</v>
      </c>
      <c r="F592" s="47" t="s">
        <v>414</v>
      </c>
      <c r="G592" s="47">
        <v>3</v>
      </c>
      <c r="H592" s="90" t="s">
        <v>612</v>
      </c>
      <c r="I592" s="48">
        <v>4</v>
      </c>
      <c r="J592" s="47" t="s">
        <v>203</v>
      </c>
      <c r="N592" t="s">
        <v>90</v>
      </c>
      <c r="O592" t="s">
        <v>90</v>
      </c>
      <c r="P592" t="s">
        <v>90</v>
      </c>
      <c r="Q592" t="s">
        <v>90</v>
      </c>
      <c r="R592" t="s">
        <v>90</v>
      </c>
      <c r="S592" t="s">
        <v>90</v>
      </c>
      <c r="T592" t="s">
        <v>90</v>
      </c>
      <c r="U592" t="s">
        <v>90</v>
      </c>
      <c r="V592" t="s">
        <v>256</v>
      </c>
      <c r="W592" s="45"/>
      <c r="X592" s="45"/>
      <c r="Y592" s="45"/>
      <c r="Z592" s="45"/>
    </row>
    <row r="593" spans="1:26" ht="20">
      <c r="A593" s="46">
        <v>37652</v>
      </c>
      <c r="B593" s="45" t="s">
        <v>1086</v>
      </c>
      <c r="C593" s="45"/>
      <c r="D593" s="47">
        <v>1</v>
      </c>
      <c r="E593" s="47" t="s">
        <v>413</v>
      </c>
      <c r="F593" s="47" t="s">
        <v>414</v>
      </c>
      <c r="G593" s="47">
        <v>3</v>
      </c>
      <c r="H593" s="90" t="s">
        <v>614</v>
      </c>
      <c r="I593" s="48">
        <v>4</v>
      </c>
      <c r="J593" s="47" t="s">
        <v>202</v>
      </c>
      <c r="N593" t="s">
        <v>90</v>
      </c>
      <c r="O593" t="s">
        <v>90</v>
      </c>
      <c r="P593" t="s">
        <v>90</v>
      </c>
      <c r="Q593" t="s">
        <v>90</v>
      </c>
      <c r="R593" t="s">
        <v>90</v>
      </c>
      <c r="S593" t="s">
        <v>90</v>
      </c>
      <c r="T593" t="s">
        <v>90</v>
      </c>
      <c r="U593" t="s">
        <v>90</v>
      </c>
      <c r="V593" t="s">
        <v>256</v>
      </c>
      <c r="W593" s="45"/>
      <c r="X593" s="45"/>
      <c r="Y593" s="45"/>
      <c r="Z593" s="45"/>
    </row>
    <row r="594" spans="1:26" ht="20">
      <c r="A594" s="46">
        <v>37654</v>
      </c>
      <c r="B594" s="45" t="s">
        <v>1087</v>
      </c>
      <c r="C594" s="45" t="s">
        <v>90</v>
      </c>
      <c r="D594" s="47">
        <v>1</v>
      </c>
      <c r="E594" s="47" t="s">
        <v>413</v>
      </c>
      <c r="F594" s="47" t="s">
        <v>414</v>
      </c>
      <c r="G594" s="47">
        <v>3</v>
      </c>
      <c r="H594" s="90" t="s">
        <v>616</v>
      </c>
      <c r="I594" s="48">
        <v>4</v>
      </c>
      <c r="J594" s="47" t="s">
        <v>203</v>
      </c>
      <c r="N594" t="s">
        <v>90</v>
      </c>
      <c r="O594" t="s">
        <v>90</v>
      </c>
      <c r="P594" t="s">
        <v>90</v>
      </c>
      <c r="Q594" t="s">
        <v>90</v>
      </c>
      <c r="R594" t="s">
        <v>90</v>
      </c>
      <c r="S594" t="s">
        <v>90</v>
      </c>
      <c r="T594" t="s">
        <v>90</v>
      </c>
      <c r="U594" t="s">
        <v>90</v>
      </c>
      <c r="V594" t="s">
        <v>256</v>
      </c>
      <c r="W594" s="45"/>
      <c r="X594" s="45"/>
      <c r="Y594" s="45"/>
      <c r="Z594" s="45"/>
    </row>
    <row r="595" spans="1:26" ht="20">
      <c r="A595" s="46">
        <v>37656</v>
      </c>
      <c r="B595" s="45" t="s">
        <v>1088</v>
      </c>
      <c r="C595" s="45" t="s">
        <v>90</v>
      </c>
      <c r="D595" s="47">
        <v>1</v>
      </c>
      <c r="E595" s="47" t="s">
        <v>413</v>
      </c>
      <c r="F595" s="47" t="s">
        <v>481</v>
      </c>
      <c r="G595" s="47">
        <v>5</v>
      </c>
      <c r="H595" s="90" t="s">
        <v>618</v>
      </c>
      <c r="I595" s="48">
        <v>4</v>
      </c>
      <c r="J595" s="47" t="s">
        <v>203</v>
      </c>
      <c r="N595" t="s">
        <v>90</v>
      </c>
      <c r="O595" t="s">
        <v>90</v>
      </c>
      <c r="P595" t="s">
        <v>90</v>
      </c>
      <c r="Q595" t="s">
        <v>90</v>
      </c>
      <c r="R595" t="s">
        <v>90</v>
      </c>
      <c r="S595" t="s">
        <v>90</v>
      </c>
      <c r="T595" t="s">
        <v>90</v>
      </c>
      <c r="U595" t="s">
        <v>90</v>
      </c>
      <c r="V595" t="s">
        <v>256</v>
      </c>
      <c r="W595" s="45"/>
      <c r="X595" s="45"/>
      <c r="Y595" s="45"/>
      <c r="Z595" s="45"/>
    </row>
    <row r="596" spans="1:26" ht="20">
      <c r="A596" s="46">
        <v>38019</v>
      </c>
      <c r="B596" s="45" t="s">
        <v>673</v>
      </c>
      <c r="C596" s="60"/>
      <c r="D596" s="47">
        <v>4</v>
      </c>
      <c r="E596" s="45"/>
      <c r="F596" s="47" t="s">
        <v>542</v>
      </c>
      <c r="G596" s="45"/>
      <c r="H596" s="90" t="s">
        <v>573</v>
      </c>
      <c r="I596" s="48">
        <v>4</v>
      </c>
      <c r="J596" s="47" t="s">
        <v>203</v>
      </c>
      <c r="N596" t="s">
        <v>90</v>
      </c>
      <c r="O596" t="s">
        <v>256</v>
      </c>
      <c r="P596" t="s">
        <v>90</v>
      </c>
      <c r="Q596" t="s">
        <v>90</v>
      </c>
      <c r="R596" t="s">
        <v>90</v>
      </c>
      <c r="S596" t="s">
        <v>90</v>
      </c>
      <c r="T596" t="s">
        <v>256</v>
      </c>
      <c r="U596" t="s">
        <v>256</v>
      </c>
      <c r="V596" t="s">
        <v>256</v>
      </c>
      <c r="W596" s="45"/>
      <c r="X596" s="45"/>
      <c r="Y596" s="45"/>
      <c r="Z596" s="45"/>
    </row>
    <row r="597" spans="1:26" ht="20">
      <c r="A597" s="46">
        <v>38074</v>
      </c>
      <c r="B597" s="45" t="s">
        <v>402</v>
      </c>
      <c r="C597" s="45"/>
      <c r="D597" s="47">
        <v>2</v>
      </c>
      <c r="E597" s="59" t="s">
        <v>69</v>
      </c>
      <c r="F597" s="59" t="s">
        <v>89</v>
      </c>
      <c r="G597" s="59">
        <v>4</v>
      </c>
      <c r="H597" s="90" t="s">
        <v>590</v>
      </c>
      <c r="I597" s="48" t="s">
        <v>94</v>
      </c>
      <c r="J597" s="47" t="s">
        <v>203</v>
      </c>
      <c r="N597" t="s">
        <v>90</v>
      </c>
      <c r="O597" t="s">
        <v>90</v>
      </c>
      <c r="P597" t="s">
        <v>90</v>
      </c>
      <c r="Q597" t="s">
        <v>90</v>
      </c>
      <c r="R597" t="s">
        <v>90</v>
      </c>
      <c r="S597" t="s">
        <v>90</v>
      </c>
      <c r="T597" t="s">
        <v>90</v>
      </c>
      <c r="U597" t="s">
        <v>90</v>
      </c>
      <c r="V597" t="s">
        <v>90</v>
      </c>
    </row>
    <row r="598" spans="1:26" ht="20">
      <c r="A598" s="46">
        <v>38071</v>
      </c>
      <c r="B598" s="45" t="s">
        <v>248</v>
      </c>
      <c r="C598" s="45"/>
      <c r="D598" s="47">
        <v>2</v>
      </c>
      <c r="E598" s="59" t="s">
        <v>47</v>
      </c>
      <c r="F598" s="59" t="s">
        <v>88</v>
      </c>
      <c r="G598" s="59">
        <v>4</v>
      </c>
      <c r="H598" s="90" t="s">
        <v>591</v>
      </c>
      <c r="I598" s="48" t="s">
        <v>94</v>
      </c>
      <c r="J598" s="47" t="s">
        <v>203</v>
      </c>
      <c r="N598" t="s">
        <v>90</v>
      </c>
      <c r="O598" t="s">
        <v>90</v>
      </c>
      <c r="P598" t="s">
        <v>90</v>
      </c>
      <c r="Q598" t="s">
        <v>90</v>
      </c>
      <c r="R598" t="s">
        <v>90</v>
      </c>
      <c r="S598" t="s">
        <v>90</v>
      </c>
      <c r="T598" t="s">
        <v>90</v>
      </c>
      <c r="U598" t="s">
        <v>90</v>
      </c>
      <c r="V598" t="s">
        <v>90</v>
      </c>
    </row>
    <row r="599" spans="1:26" ht="20">
      <c r="A599" s="46">
        <v>38072</v>
      </c>
      <c r="B599" s="45" t="s">
        <v>403</v>
      </c>
      <c r="C599" s="45"/>
      <c r="D599" s="47">
        <v>2</v>
      </c>
      <c r="E599" s="59" t="s">
        <v>47</v>
      </c>
      <c r="F599" s="59" t="s">
        <v>88</v>
      </c>
      <c r="G599" s="59">
        <v>2</v>
      </c>
      <c r="H599" s="90" t="s">
        <v>592</v>
      </c>
      <c r="I599" s="48" t="s">
        <v>543</v>
      </c>
      <c r="J599" s="47" t="s">
        <v>203</v>
      </c>
      <c r="N599" t="s">
        <v>90</v>
      </c>
      <c r="O599" t="s">
        <v>90</v>
      </c>
      <c r="P599" t="s">
        <v>90</v>
      </c>
      <c r="Q599" t="s">
        <v>90</v>
      </c>
      <c r="R599" t="s">
        <v>90</v>
      </c>
      <c r="S599" t="s">
        <v>90</v>
      </c>
      <c r="T599" t="s">
        <v>90</v>
      </c>
      <c r="U599" t="s">
        <v>90</v>
      </c>
      <c r="V599" t="s">
        <v>90</v>
      </c>
    </row>
    <row r="600" spans="1:26" ht="20">
      <c r="A600" s="46">
        <v>38073</v>
      </c>
      <c r="B600" s="45" t="s">
        <v>398</v>
      </c>
      <c r="C600" s="45"/>
      <c r="D600" s="47">
        <v>2</v>
      </c>
      <c r="E600" s="59" t="s">
        <v>69</v>
      </c>
      <c r="F600" s="59" t="s">
        <v>88</v>
      </c>
      <c r="G600" s="59">
        <v>4</v>
      </c>
      <c r="H600" s="90" t="s">
        <v>593</v>
      </c>
      <c r="I600" s="48" t="s">
        <v>94</v>
      </c>
      <c r="J600" s="47" t="s">
        <v>203</v>
      </c>
      <c r="N600" t="s">
        <v>90</v>
      </c>
      <c r="O600" t="s">
        <v>90</v>
      </c>
      <c r="P600" t="s">
        <v>90</v>
      </c>
      <c r="Q600" t="s">
        <v>90</v>
      </c>
      <c r="R600" t="s">
        <v>90</v>
      </c>
      <c r="S600" t="s">
        <v>90</v>
      </c>
      <c r="T600" t="s">
        <v>90</v>
      </c>
      <c r="U600" t="s">
        <v>90</v>
      </c>
      <c r="V600" t="s">
        <v>90</v>
      </c>
    </row>
    <row r="601" spans="1:26" s="77" customFormat="1" ht="13.5" customHeight="1">
      <c r="A601" s="75">
        <v>83001</v>
      </c>
      <c r="B601" s="76" t="s">
        <v>653</v>
      </c>
      <c r="D601" s="75">
        <v>0</v>
      </c>
      <c r="E601" s="78" t="s">
        <v>69</v>
      </c>
      <c r="F601" s="75" t="s">
        <v>95</v>
      </c>
      <c r="H601" s="90" t="s">
        <v>594</v>
      </c>
      <c r="I601" s="79">
        <v>1</v>
      </c>
      <c r="M601" s="79"/>
      <c r="O601" s="80"/>
      <c r="P601" s="80"/>
      <c r="Q601" s="80"/>
      <c r="R601" s="80"/>
      <c r="S601" s="80"/>
      <c r="T601" s="80"/>
      <c r="U601" s="80"/>
      <c r="V601" s="80"/>
    </row>
    <row r="602" spans="1:26" s="77" customFormat="1" ht="13.5" customHeight="1">
      <c r="A602" s="75">
        <v>83002</v>
      </c>
      <c r="B602" s="76" t="s">
        <v>653</v>
      </c>
      <c r="D602" s="75">
        <v>0</v>
      </c>
      <c r="E602" s="78" t="s">
        <v>47</v>
      </c>
      <c r="F602" s="75" t="s">
        <v>95</v>
      </c>
      <c r="H602" s="90" t="s">
        <v>595</v>
      </c>
      <c r="I602" s="79">
        <v>1</v>
      </c>
      <c r="M602" s="79"/>
    </row>
    <row r="603" spans="1:26" s="77" customFormat="1" ht="13.5" customHeight="1">
      <c r="A603" s="75">
        <v>83003</v>
      </c>
      <c r="B603" s="76" t="s">
        <v>653</v>
      </c>
      <c r="D603" s="75">
        <v>0</v>
      </c>
      <c r="E603" s="78" t="s">
        <v>69</v>
      </c>
      <c r="F603" s="75" t="s">
        <v>95</v>
      </c>
      <c r="H603" s="90" t="s">
        <v>596</v>
      </c>
      <c r="I603" s="79">
        <v>1</v>
      </c>
      <c r="M603" s="79"/>
    </row>
    <row r="604" spans="1:26" s="77" customFormat="1" ht="13.5" customHeight="1">
      <c r="A604" s="75">
        <v>83004</v>
      </c>
      <c r="B604" s="76" t="s">
        <v>653</v>
      </c>
      <c r="D604" s="75">
        <v>0</v>
      </c>
      <c r="E604" s="78" t="s">
        <v>47</v>
      </c>
      <c r="F604" s="75" t="s">
        <v>95</v>
      </c>
      <c r="H604" s="90" t="s">
        <v>597</v>
      </c>
      <c r="I604" s="79">
        <v>1</v>
      </c>
      <c r="M604" s="79"/>
    </row>
    <row r="605" spans="1:26" ht="20">
      <c r="H605" s="90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3D424-F702-574A-AFCC-A6BCEF2AA9F3}">
  <sheetPr codeName="Sheet2"/>
  <dimension ref="A1:B1166"/>
  <sheetViews>
    <sheetView workbookViewId="0">
      <selection activeCell="A2" sqref="A2:XFD71"/>
    </sheetView>
  </sheetViews>
  <sheetFormatPr baseColWidth="10" defaultColWidth="11" defaultRowHeight="16"/>
  <cols>
    <col min="1" max="1" width="54.5" bestFit="1" customWidth="1"/>
  </cols>
  <sheetData>
    <row r="1" spans="1:2">
      <c r="A1" t="s">
        <v>245</v>
      </c>
      <c r="B1" t="s">
        <v>246</v>
      </c>
    </row>
    <row r="2" spans="1:2">
      <c r="A2" t="s">
        <v>557</v>
      </c>
      <c r="B2">
        <v>0</v>
      </c>
    </row>
    <row r="3" spans="1:2">
      <c r="A3" t="s">
        <v>397</v>
      </c>
      <c r="B3">
        <v>0.51171875</v>
      </c>
    </row>
    <row r="4" spans="1:2">
      <c r="A4" t="s">
        <v>548</v>
      </c>
      <c r="B4">
        <v>0.53125</v>
      </c>
    </row>
    <row r="5" spans="1:2">
      <c r="A5" t="s">
        <v>558</v>
      </c>
      <c r="B5">
        <v>0</v>
      </c>
    </row>
    <row r="6" spans="1:2">
      <c r="A6" t="s">
        <v>397</v>
      </c>
      <c r="B6">
        <v>0.3515625</v>
      </c>
    </row>
    <row r="7" spans="1:2">
      <c r="A7" t="s">
        <v>551</v>
      </c>
      <c r="B7">
        <v>0.36328125</v>
      </c>
    </row>
    <row r="8" spans="1:2">
      <c r="A8" t="s">
        <v>397</v>
      </c>
      <c r="B8">
        <v>0.37890625</v>
      </c>
    </row>
    <row r="9" spans="1:2">
      <c r="A9" t="s">
        <v>557</v>
      </c>
      <c r="B9">
        <v>0</v>
      </c>
    </row>
    <row r="10" spans="1:2">
      <c r="A10" t="s">
        <v>548</v>
      </c>
      <c r="B10">
        <v>7.8125E-3</v>
      </c>
    </row>
    <row r="11" spans="1:2">
      <c r="A11" t="s">
        <v>558</v>
      </c>
      <c r="B11">
        <v>0</v>
      </c>
    </row>
    <row r="12" spans="1:2">
      <c r="A12" t="s">
        <v>551</v>
      </c>
      <c r="B12">
        <v>7.8125E-3</v>
      </c>
    </row>
    <row r="13" spans="1:2">
      <c r="A13" t="s">
        <v>559</v>
      </c>
      <c r="B13">
        <v>0</v>
      </c>
    </row>
    <row r="14" spans="1:2">
      <c r="A14" t="s">
        <v>552</v>
      </c>
      <c r="B14">
        <v>1.171875E-2</v>
      </c>
    </row>
    <row r="15" spans="1:2">
      <c r="A15" t="s">
        <v>560</v>
      </c>
      <c r="B15">
        <v>0</v>
      </c>
    </row>
    <row r="16" spans="1:2">
      <c r="A16" t="s">
        <v>563</v>
      </c>
      <c r="B16">
        <v>3.90625E-3</v>
      </c>
    </row>
    <row r="17" spans="1:2">
      <c r="A17" t="s">
        <v>561</v>
      </c>
      <c r="B17">
        <v>0</v>
      </c>
    </row>
    <row r="18" spans="1:2">
      <c r="A18" t="s">
        <v>553</v>
      </c>
      <c r="B18">
        <v>2.34375E-2</v>
      </c>
    </row>
    <row r="19" spans="1:2">
      <c r="A19" t="s">
        <v>562</v>
      </c>
      <c r="B19">
        <v>0</v>
      </c>
    </row>
    <row r="20" spans="1:2">
      <c r="A20" t="s">
        <v>554</v>
      </c>
      <c r="B20">
        <v>7.8125E-3</v>
      </c>
    </row>
    <row r="21" spans="1:2">
      <c r="A21" t="s">
        <v>555</v>
      </c>
      <c r="B21">
        <v>0.57421875</v>
      </c>
    </row>
    <row r="22" spans="1:2">
      <c r="A22" t="s">
        <v>556</v>
      </c>
      <c r="B22">
        <v>7.8125E-2</v>
      </c>
    </row>
    <row r="23" spans="1:2">
      <c r="A23" t="s">
        <v>397</v>
      </c>
      <c r="B23">
        <v>0.30078125</v>
      </c>
    </row>
    <row r="24" spans="1:2">
      <c r="A24" t="s">
        <v>557</v>
      </c>
      <c r="B24">
        <v>0</v>
      </c>
    </row>
    <row r="25" spans="1:2">
      <c r="A25" t="s">
        <v>548</v>
      </c>
      <c r="B25">
        <v>1.171875E-2</v>
      </c>
    </row>
    <row r="26" spans="1:2">
      <c r="A26" t="s">
        <v>558</v>
      </c>
      <c r="B26">
        <v>0</v>
      </c>
    </row>
    <row r="27" spans="1:2">
      <c r="A27" t="s">
        <v>551</v>
      </c>
      <c r="B27">
        <v>7.8125E-3</v>
      </c>
    </row>
    <row r="28" spans="1:2">
      <c r="A28" t="s">
        <v>559</v>
      </c>
      <c r="B28">
        <v>0</v>
      </c>
    </row>
    <row r="29" spans="1:2">
      <c r="A29" t="s">
        <v>552</v>
      </c>
      <c r="B29">
        <v>1.171875E-2</v>
      </c>
    </row>
    <row r="30" spans="1:2">
      <c r="A30" t="s">
        <v>560</v>
      </c>
      <c r="B30">
        <v>0</v>
      </c>
    </row>
    <row r="31" spans="1:2">
      <c r="A31" t="s">
        <v>563</v>
      </c>
      <c r="B31">
        <v>7.8125E-3</v>
      </c>
    </row>
    <row r="32" spans="1:2">
      <c r="A32" t="s">
        <v>561</v>
      </c>
      <c r="B32">
        <v>0</v>
      </c>
    </row>
    <row r="33" spans="1:2">
      <c r="A33" t="s">
        <v>553</v>
      </c>
      <c r="B33">
        <v>1.5625E-2</v>
      </c>
    </row>
    <row r="34" spans="1:2">
      <c r="A34" t="s">
        <v>562</v>
      </c>
      <c r="B34">
        <v>0</v>
      </c>
    </row>
    <row r="35" spans="1:2">
      <c r="A35" t="s">
        <v>554</v>
      </c>
      <c r="B35">
        <v>7.8125E-3</v>
      </c>
    </row>
    <row r="36" spans="1:2">
      <c r="A36" t="s">
        <v>555</v>
      </c>
      <c r="B36">
        <v>0.484375</v>
      </c>
    </row>
    <row r="37" spans="1:2">
      <c r="A37" t="s">
        <v>556</v>
      </c>
      <c r="B37">
        <v>8.203125E-2</v>
      </c>
    </row>
    <row r="38" spans="1:2">
      <c r="A38" t="s">
        <v>397</v>
      </c>
      <c r="B38">
        <v>0.29296875</v>
      </c>
    </row>
    <row r="39" spans="1:2">
      <c r="A39" t="s">
        <v>557</v>
      </c>
      <c r="B39">
        <v>0</v>
      </c>
    </row>
    <row r="40" spans="1:2">
      <c r="A40" t="s">
        <v>548</v>
      </c>
      <c r="B40">
        <v>7.8125E-3</v>
      </c>
    </row>
    <row r="41" spans="1:2">
      <c r="A41" t="s">
        <v>558</v>
      </c>
      <c r="B41">
        <v>0</v>
      </c>
    </row>
    <row r="42" spans="1:2">
      <c r="A42" t="s">
        <v>551</v>
      </c>
      <c r="B42">
        <v>7.8125E-3</v>
      </c>
    </row>
    <row r="43" spans="1:2">
      <c r="A43" t="s">
        <v>559</v>
      </c>
      <c r="B43">
        <v>0</v>
      </c>
    </row>
    <row r="44" spans="1:2">
      <c r="A44" t="s">
        <v>552</v>
      </c>
      <c r="B44">
        <v>7.8125E-3</v>
      </c>
    </row>
    <row r="45" spans="1:2">
      <c r="A45" t="s">
        <v>560</v>
      </c>
      <c r="B45">
        <v>0</v>
      </c>
    </row>
    <row r="46" spans="1:2">
      <c r="A46" t="s">
        <v>563</v>
      </c>
      <c r="B46">
        <v>3.90625E-3</v>
      </c>
    </row>
    <row r="47" spans="1:2">
      <c r="A47" t="s">
        <v>561</v>
      </c>
      <c r="B47">
        <v>0</v>
      </c>
    </row>
    <row r="48" spans="1:2">
      <c r="A48" t="s">
        <v>553</v>
      </c>
      <c r="B48">
        <v>1.953125E-2</v>
      </c>
    </row>
    <row r="49" spans="1:2">
      <c r="A49" t="s">
        <v>562</v>
      </c>
      <c r="B49">
        <v>0</v>
      </c>
    </row>
    <row r="50" spans="1:2">
      <c r="A50" t="s">
        <v>554</v>
      </c>
      <c r="B50">
        <v>3.90625E-3</v>
      </c>
    </row>
    <row r="51" spans="1:2">
      <c r="A51" t="s">
        <v>555</v>
      </c>
      <c r="B51">
        <v>0.4609375</v>
      </c>
    </row>
    <row r="52" spans="1:2">
      <c r="A52" t="s">
        <v>556</v>
      </c>
      <c r="B52">
        <v>7.03125E-2</v>
      </c>
    </row>
    <row r="53" spans="1:2">
      <c r="A53" t="s">
        <v>397</v>
      </c>
      <c r="B53">
        <v>0.40625</v>
      </c>
    </row>
    <row r="54" spans="1:2">
      <c r="A54" t="s">
        <v>557</v>
      </c>
      <c r="B54">
        <v>0</v>
      </c>
    </row>
    <row r="55" spans="1:2">
      <c r="A55" t="s">
        <v>548</v>
      </c>
      <c r="B55">
        <v>1.171875E-2</v>
      </c>
    </row>
    <row r="56" spans="1:2">
      <c r="A56" t="s">
        <v>558</v>
      </c>
      <c r="B56">
        <v>0</v>
      </c>
    </row>
    <row r="57" spans="1:2">
      <c r="A57" t="s">
        <v>551</v>
      </c>
      <c r="B57">
        <v>1.171875E-2</v>
      </c>
    </row>
    <row r="58" spans="1:2">
      <c r="A58" t="s">
        <v>559</v>
      </c>
      <c r="B58">
        <v>0</v>
      </c>
    </row>
    <row r="59" spans="1:2">
      <c r="A59" t="s">
        <v>552</v>
      </c>
      <c r="B59">
        <v>1.171875E-2</v>
      </c>
    </row>
    <row r="60" spans="1:2">
      <c r="A60" t="s">
        <v>560</v>
      </c>
      <c r="B60">
        <v>0</v>
      </c>
    </row>
    <row r="61" spans="1:2">
      <c r="A61" t="s">
        <v>563</v>
      </c>
      <c r="B61">
        <v>7.8125E-3</v>
      </c>
    </row>
    <row r="62" spans="1:2">
      <c r="A62" t="s">
        <v>561</v>
      </c>
      <c r="B62">
        <v>0</v>
      </c>
    </row>
    <row r="63" spans="1:2">
      <c r="A63" t="s">
        <v>553</v>
      </c>
      <c r="B63">
        <v>1.5625E-2</v>
      </c>
    </row>
    <row r="64" spans="1:2">
      <c r="A64" t="s">
        <v>562</v>
      </c>
      <c r="B64">
        <v>0</v>
      </c>
    </row>
    <row r="65" spans="1:2">
      <c r="A65" t="s">
        <v>554</v>
      </c>
      <c r="B65">
        <v>7.8125E-3</v>
      </c>
    </row>
    <row r="66" spans="1:2">
      <c r="A66" t="s">
        <v>555</v>
      </c>
      <c r="B66">
        <v>0.6171875</v>
      </c>
    </row>
    <row r="67" spans="1:2">
      <c r="A67" t="s">
        <v>556</v>
      </c>
      <c r="B67">
        <v>7.421875E-2</v>
      </c>
    </row>
    <row r="68" spans="1:2">
      <c r="A68" t="s">
        <v>558</v>
      </c>
      <c r="B68">
        <v>0</v>
      </c>
    </row>
    <row r="69" spans="1:2">
      <c r="A69" t="s">
        <v>397</v>
      </c>
      <c r="B69">
        <v>0.1484375</v>
      </c>
    </row>
    <row r="70" spans="1:2">
      <c r="A70" t="s">
        <v>551</v>
      </c>
      <c r="B70">
        <v>0.16015625</v>
      </c>
    </row>
    <row r="71" spans="1:2">
      <c r="A71" t="s">
        <v>557</v>
      </c>
      <c r="B71">
        <v>0</v>
      </c>
    </row>
    <row r="72" spans="1:2">
      <c r="A72" t="s">
        <v>397</v>
      </c>
      <c r="B72">
        <v>0.125</v>
      </c>
    </row>
    <row r="73" spans="1:2">
      <c r="A73" t="s">
        <v>548</v>
      </c>
      <c r="B73">
        <v>0.12890625</v>
      </c>
    </row>
    <row r="74" spans="1:2">
      <c r="A74" t="s">
        <v>557</v>
      </c>
      <c r="B74">
        <v>0</v>
      </c>
    </row>
    <row r="75" spans="1:2">
      <c r="A75" t="s">
        <v>397</v>
      </c>
      <c r="B75">
        <v>0.12109375</v>
      </c>
    </row>
    <row r="76" spans="1:2">
      <c r="A76" t="s">
        <v>548</v>
      </c>
      <c r="B76">
        <v>0.12890625</v>
      </c>
    </row>
    <row r="77" spans="1:2">
      <c r="A77" t="s">
        <v>557</v>
      </c>
      <c r="B77">
        <v>0</v>
      </c>
    </row>
    <row r="78" spans="1:2">
      <c r="A78" t="s">
        <v>397</v>
      </c>
      <c r="B78">
        <v>0.140625</v>
      </c>
    </row>
    <row r="79" spans="1:2">
      <c r="A79" t="s">
        <v>548</v>
      </c>
      <c r="B79">
        <v>0.14453125</v>
      </c>
    </row>
    <row r="80" spans="1:2">
      <c r="A80" t="s">
        <v>557</v>
      </c>
      <c r="B80">
        <v>0</v>
      </c>
    </row>
    <row r="81" spans="1:2">
      <c r="A81" t="s">
        <v>397</v>
      </c>
      <c r="B81">
        <v>0.1484375</v>
      </c>
    </row>
    <row r="82" spans="1:2">
      <c r="A82" t="s">
        <v>548</v>
      </c>
      <c r="B82">
        <v>0.15625</v>
      </c>
    </row>
    <row r="83" spans="1:2">
      <c r="A83" t="s">
        <v>557</v>
      </c>
      <c r="B83">
        <v>0</v>
      </c>
    </row>
    <row r="84" spans="1:2">
      <c r="A84" t="s">
        <v>397</v>
      </c>
      <c r="B84">
        <v>0.125</v>
      </c>
    </row>
    <row r="85" spans="1:2">
      <c r="A85" t="s">
        <v>548</v>
      </c>
      <c r="B85">
        <v>0.125</v>
      </c>
    </row>
    <row r="86" spans="1:2">
      <c r="A86" t="s">
        <v>557</v>
      </c>
      <c r="B86">
        <v>0</v>
      </c>
    </row>
    <row r="87" spans="1:2">
      <c r="A87" t="s">
        <v>397</v>
      </c>
      <c r="B87">
        <v>0.1328125</v>
      </c>
    </row>
    <row r="88" spans="1:2">
      <c r="A88" t="s">
        <v>548</v>
      </c>
      <c r="B88">
        <v>0.140625</v>
      </c>
    </row>
    <row r="89" spans="1:2">
      <c r="A89" t="s">
        <v>557</v>
      </c>
      <c r="B89">
        <v>0</v>
      </c>
    </row>
    <row r="90" spans="1:2">
      <c r="A90" t="s">
        <v>397</v>
      </c>
      <c r="B90">
        <v>0.1328125</v>
      </c>
    </row>
    <row r="91" spans="1:2">
      <c r="A91" t="s">
        <v>548</v>
      </c>
      <c r="B91">
        <v>0.1328125</v>
      </c>
    </row>
    <row r="92" spans="1:2">
      <c r="A92" t="s">
        <v>557</v>
      </c>
      <c r="B92">
        <v>0</v>
      </c>
    </row>
    <row r="93" spans="1:2">
      <c r="A93" t="s">
        <v>397</v>
      </c>
      <c r="B93">
        <v>0.125</v>
      </c>
    </row>
    <row r="94" spans="1:2">
      <c r="A94" t="s">
        <v>548</v>
      </c>
      <c r="B94">
        <v>0.1328125</v>
      </c>
    </row>
    <row r="95" spans="1:2">
      <c r="A95" t="s">
        <v>557</v>
      </c>
      <c r="B95">
        <v>0</v>
      </c>
    </row>
    <row r="96" spans="1:2">
      <c r="A96" t="s">
        <v>397</v>
      </c>
      <c r="B96">
        <v>0.125</v>
      </c>
    </row>
    <row r="97" spans="1:2">
      <c r="A97" t="s">
        <v>548</v>
      </c>
      <c r="B97">
        <v>0.1328125</v>
      </c>
    </row>
    <row r="98" spans="1:2">
      <c r="A98" t="s">
        <v>557</v>
      </c>
      <c r="B98">
        <v>0</v>
      </c>
    </row>
    <row r="99" spans="1:2">
      <c r="A99" t="s">
        <v>397</v>
      </c>
      <c r="B99">
        <v>0.1171875</v>
      </c>
    </row>
    <row r="100" spans="1:2">
      <c r="A100" t="s">
        <v>548</v>
      </c>
      <c r="B100">
        <v>0.125</v>
      </c>
    </row>
    <row r="101" spans="1:2">
      <c r="A101" t="s">
        <v>561</v>
      </c>
      <c r="B101">
        <v>0</v>
      </c>
    </row>
    <row r="102" spans="1:2">
      <c r="A102" t="s">
        <v>397</v>
      </c>
      <c r="B102">
        <v>0.1328125</v>
      </c>
    </row>
    <row r="103" spans="1:2">
      <c r="A103" t="s">
        <v>553</v>
      </c>
      <c r="B103">
        <v>0.140625</v>
      </c>
    </row>
    <row r="104" spans="1:2">
      <c r="A104" t="s">
        <v>561</v>
      </c>
      <c r="B104">
        <v>0</v>
      </c>
    </row>
    <row r="105" spans="1:2">
      <c r="A105" t="s">
        <v>397</v>
      </c>
      <c r="B105">
        <v>0.125</v>
      </c>
    </row>
    <row r="106" spans="1:2">
      <c r="A106" t="s">
        <v>553</v>
      </c>
      <c r="B106">
        <v>0.125</v>
      </c>
    </row>
    <row r="107" spans="1:2">
      <c r="A107" t="s">
        <v>397</v>
      </c>
      <c r="B107">
        <v>0.15625</v>
      </c>
    </row>
    <row r="108" spans="1:2">
      <c r="A108" t="s">
        <v>557</v>
      </c>
      <c r="B108">
        <v>0</v>
      </c>
    </row>
    <row r="109" spans="1:2">
      <c r="A109" t="s">
        <v>548</v>
      </c>
      <c r="B109">
        <v>0</v>
      </c>
    </row>
    <row r="110" spans="1:2">
      <c r="A110" t="s">
        <v>558</v>
      </c>
      <c r="B110">
        <v>0</v>
      </c>
    </row>
    <row r="111" spans="1:2">
      <c r="A111" t="s">
        <v>551</v>
      </c>
      <c r="B111">
        <v>0</v>
      </c>
    </row>
    <row r="112" spans="1:2">
      <c r="A112" t="s">
        <v>559</v>
      </c>
      <c r="B112">
        <v>0</v>
      </c>
    </row>
    <row r="113" spans="1:2">
      <c r="A113" t="s">
        <v>683</v>
      </c>
      <c r="B113">
        <v>0</v>
      </c>
    </row>
    <row r="114" spans="1:2">
      <c r="A114" t="s">
        <v>560</v>
      </c>
      <c r="B114">
        <v>0</v>
      </c>
    </row>
    <row r="115" spans="1:2">
      <c r="A115" t="s">
        <v>563</v>
      </c>
      <c r="B115">
        <v>7.8125E-3</v>
      </c>
    </row>
    <row r="116" spans="1:2">
      <c r="A116" t="s">
        <v>561</v>
      </c>
      <c r="B116">
        <v>0</v>
      </c>
    </row>
    <row r="117" spans="1:2">
      <c r="A117" t="s">
        <v>553</v>
      </c>
      <c r="B117">
        <v>7.8125E-3</v>
      </c>
    </row>
    <row r="118" spans="1:2">
      <c r="A118" t="s">
        <v>562</v>
      </c>
      <c r="B118">
        <v>0</v>
      </c>
    </row>
    <row r="119" spans="1:2">
      <c r="A119" t="s">
        <v>554</v>
      </c>
      <c r="B119">
        <v>0</v>
      </c>
    </row>
    <row r="120" spans="1:2">
      <c r="A120" t="s">
        <v>555</v>
      </c>
      <c r="B120">
        <v>0.21875</v>
      </c>
    </row>
    <row r="121" spans="1:2">
      <c r="A121" t="s">
        <v>556</v>
      </c>
      <c r="B121">
        <v>2.34375E-2</v>
      </c>
    </row>
    <row r="122" spans="1:2">
      <c r="A122" t="s">
        <v>397</v>
      </c>
      <c r="B122">
        <v>0.1484375</v>
      </c>
    </row>
    <row r="123" spans="1:2">
      <c r="A123" t="s">
        <v>557</v>
      </c>
      <c r="B123">
        <v>0</v>
      </c>
    </row>
    <row r="124" spans="1:2">
      <c r="A124" t="s">
        <v>548</v>
      </c>
      <c r="B124">
        <v>0</v>
      </c>
    </row>
    <row r="125" spans="1:2">
      <c r="A125" t="s">
        <v>558</v>
      </c>
      <c r="B125">
        <v>0</v>
      </c>
    </row>
    <row r="126" spans="1:2">
      <c r="A126" t="s">
        <v>551</v>
      </c>
      <c r="B126">
        <v>0</v>
      </c>
    </row>
    <row r="127" spans="1:2">
      <c r="A127" t="s">
        <v>559</v>
      </c>
      <c r="B127">
        <v>0</v>
      </c>
    </row>
    <row r="128" spans="1:2">
      <c r="A128" t="s">
        <v>552</v>
      </c>
      <c r="B128">
        <v>0</v>
      </c>
    </row>
    <row r="129" spans="1:2">
      <c r="A129" t="s">
        <v>560</v>
      </c>
      <c r="B129">
        <v>0</v>
      </c>
    </row>
    <row r="130" spans="1:2">
      <c r="A130" t="s">
        <v>563</v>
      </c>
      <c r="B130">
        <v>7.8125E-3</v>
      </c>
    </row>
    <row r="131" spans="1:2">
      <c r="A131" t="s">
        <v>561</v>
      </c>
      <c r="B131">
        <v>0</v>
      </c>
    </row>
    <row r="132" spans="1:2">
      <c r="A132" t="s">
        <v>553</v>
      </c>
      <c r="B132">
        <v>0</v>
      </c>
    </row>
    <row r="133" spans="1:2">
      <c r="A133" t="s">
        <v>562</v>
      </c>
      <c r="B133">
        <v>0</v>
      </c>
    </row>
    <row r="134" spans="1:2">
      <c r="A134" t="s">
        <v>554</v>
      </c>
      <c r="B134">
        <v>0</v>
      </c>
    </row>
    <row r="135" spans="1:2">
      <c r="A135" t="s">
        <v>555</v>
      </c>
      <c r="B135">
        <v>0.1953125</v>
      </c>
    </row>
    <row r="136" spans="1:2">
      <c r="A136" t="s">
        <v>556</v>
      </c>
      <c r="B136">
        <v>2.34375E-2</v>
      </c>
    </row>
    <row r="137" spans="1:2">
      <c r="A137" t="s">
        <v>557</v>
      </c>
      <c r="B137">
        <v>0</v>
      </c>
    </row>
    <row r="138" spans="1:2">
      <c r="A138" t="s">
        <v>397</v>
      </c>
      <c r="B138">
        <v>0.1640625</v>
      </c>
    </row>
    <row r="139" spans="1:2">
      <c r="A139" t="s">
        <v>548</v>
      </c>
      <c r="B139">
        <v>0.171875</v>
      </c>
    </row>
    <row r="140" spans="1:2">
      <c r="A140" t="s">
        <v>557</v>
      </c>
      <c r="B140">
        <v>0</v>
      </c>
    </row>
    <row r="141" spans="1:2">
      <c r="A141" t="s">
        <v>397</v>
      </c>
      <c r="B141">
        <v>0.171875</v>
      </c>
    </row>
    <row r="142" spans="1:2">
      <c r="A142" t="s">
        <v>548</v>
      </c>
      <c r="B142">
        <v>0.171875</v>
      </c>
    </row>
    <row r="143" spans="1:2">
      <c r="A143" t="s">
        <v>397</v>
      </c>
      <c r="B143">
        <v>0.140625</v>
      </c>
    </row>
    <row r="144" spans="1:2">
      <c r="A144" t="s">
        <v>557</v>
      </c>
      <c r="B144">
        <v>0</v>
      </c>
    </row>
    <row r="145" spans="1:2">
      <c r="A145" t="s">
        <v>548</v>
      </c>
      <c r="B145">
        <v>7.8125E-3</v>
      </c>
    </row>
    <row r="146" spans="1:2">
      <c r="A146" t="s">
        <v>558</v>
      </c>
      <c r="B146">
        <v>0</v>
      </c>
    </row>
    <row r="147" spans="1:2">
      <c r="A147" t="s">
        <v>1089</v>
      </c>
      <c r="B147">
        <v>0</v>
      </c>
    </row>
    <row r="148" spans="1:2">
      <c r="A148" t="s">
        <v>559</v>
      </c>
      <c r="B148">
        <v>0</v>
      </c>
    </row>
    <row r="149" spans="1:2">
      <c r="A149" t="s">
        <v>683</v>
      </c>
      <c r="B149">
        <v>0</v>
      </c>
    </row>
    <row r="150" spans="1:2">
      <c r="A150" t="s">
        <v>560</v>
      </c>
      <c r="B150">
        <v>0</v>
      </c>
    </row>
    <row r="151" spans="1:2">
      <c r="A151" t="s">
        <v>1090</v>
      </c>
      <c r="B151">
        <v>0</v>
      </c>
    </row>
    <row r="152" spans="1:2">
      <c r="A152" t="s">
        <v>561</v>
      </c>
      <c r="B152">
        <v>0</v>
      </c>
    </row>
    <row r="153" spans="1:2">
      <c r="A153" t="s">
        <v>553</v>
      </c>
      <c r="B153">
        <v>7.8125E-3</v>
      </c>
    </row>
    <row r="154" spans="1:2">
      <c r="A154" t="s">
        <v>562</v>
      </c>
      <c r="B154">
        <v>0</v>
      </c>
    </row>
    <row r="155" spans="1:2">
      <c r="A155" t="s">
        <v>1091</v>
      </c>
      <c r="B155" t="s">
        <v>1092</v>
      </c>
    </row>
    <row r="156" spans="1:2">
      <c r="A156" t="s">
        <v>1091</v>
      </c>
      <c r="B156" t="s">
        <v>1093</v>
      </c>
    </row>
    <row r="157" spans="1:2">
      <c r="A157" t="s">
        <v>1091</v>
      </c>
      <c r="B157" t="s">
        <v>1094</v>
      </c>
    </row>
    <row r="158" spans="1:2">
      <c r="A158" t="s">
        <v>1091</v>
      </c>
      <c r="B158" t="s">
        <v>1095</v>
      </c>
    </row>
    <row r="159" spans="1:2">
      <c r="A159" t="s">
        <v>1091</v>
      </c>
      <c r="B159" t="s">
        <v>1096</v>
      </c>
    </row>
    <row r="160" spans="1:2">
      <c r="A160" t="s">
        <v>1091</v>
      </c>
      <c r="B160" t="s">
        <v>1097</v>
      </c>
    </row>
    <row r="161" spans="1:2">
      <c r="A161" t="s">
        <v>1091</v>
      </c>
      <c r="B161" t="s">
        <v>1098</v>
      </c>
    </row>
    <row r="162" spans="1:2">
      <c r="A162" t="s">
        <v>1091</v>
      </c>
      <c r="B162" t="s">
        <v>1099</v>
      </c>
    </row>
    <row r="163" spans="1:2">
      <c r="A163" t="s">
        <v>1091</v>
      </c>
      <c r="B163" t="s">
        <v>1100</v>
      </c>
    </row>
    <row r="164" spans="1:2">
      <c r="A164" t="s">
        <v>1091</v>
      </c>
      <c r="B164" t="s">
        <v>1101</v>
      </c>
    </row>
    <row r="165" spans="1:2">
      <c r="A165" t="s">
        <v>1091</v>
      </c>
      <c r="B165" t="s">
        <v>1102</v>
      </c>
    </row>
    <row r="166" spans="1:2">
      <c r="A166" t="s">
        <v>1091</v>
      </c>
      <c r="B166" t="s">
        <v>1103</v>
      </c>
    </row>
    <row r="167" spans="1:2">
      <c r="A167" t="s">
        <v>1091</v>
      </c>
      <c r="B167" t="s">
        <v>1104</v>
      </c>
    </row>
    <row r="168" spans="1:2">
      <c r="A168" t="s">
        <v>1091</v>
      </c>
      <c r="B168" t="s">
        <v>1105</v>
      </c>
    </row>
    <row r="169" spans="1:2">
      <c r="A169" t="s">
        <v>1091</v>
      </c>
      <c r="B169" t="s">
        <v>1106</v>
      </c>
    </row>
    <row r="170" spans="1:2">
      <c r="A170" t="s">
        <v>1091</v>
      </c>
      <c r="B170" t="s">
        <v>1107</v>
      </c>
    </row>
    <row r="171" spans="1:2">
      <c r="A171" t="s">
        <v>1091</v>
      </c>
      <c r="B171" t="s">
        <v>1108</v>
      </c>
    </row>
    <row r="172" spans="1:2">
      <c r="A172" t="s">
        <v>1091</v>
      </c>
      <c r="B172" t="s">
        <v>1109</v>
      </c>
    </row>
    <row r="173" spans="1:2">
      <c r="A173" t="s">
        <v>1091</v>
      </c>
      <c r="B173" t="s">
        <v>1110</v>
      </c>
    </row>
    <row r="174" spans="1:2">
      <c r="A174" t="s">
        <v>1091</v>
      </c>
      <c r="B174" t="s">
        <v>1107</v>
      </c>
    </row>
    <row r="175" spans="1:2">
      <c r="A175" t="s">
        <v>1091</v>
      </c>
      <c r="B175" t="s">
        <v>1108</v>
      </c>
    </row>
    <row r="176" spans="1:2">
      <c r="A176" t="s">
        <v>1091</v>
      </c>
      <c r="B176" t="s">
        <v>1111</v>
      </c>
    </row>
    <row r="177" spans="1:2">
      <c r="A177" t="s">
        <v>554</v>
      </c>
      <c r="B177">
        <v>0</v>
      </c>
    </row>
    <row r="178" spans="1:2">
      <c r="A178" t="s">
        <v>555</v>
      </c>
      <c r="B178">
        <v>0.203125</v>
      </c>
    </row>
    <row r="179" spans="1:2">
      <c r="A179" t="s">
        <v>556</v>
      </c>
      <c r="B179">
        <v>2.34375E-2</v>
      </c>
    </row>
    <row r="180" spans="1:2">
      <c r="A180" t="s">
        <v>397</v>
      </c>
      <c r="B180">
        <v>0.1484375</v>
      </c>
    </row>
    <row r="181" spans="1:2">
      <c r="A181" t="s">
        <v>557</v>
      </c>
      <c r="B181">
        <v>0</v>
      </c>
    </row>
    <row r="182" spans="1:2">
      <c r="A182" t="s">
        <v>548</v>
      </c>
      <c r="B182">
        <v>7.8125E-3</v>
      </c>
    </row>
    <row r="183" spans="1:2">
      <c r="A183" t="s">
        <v>558</v>
      </c>
      <c r="B183">
        <v>0</v>
      </c>
    </row>
    <row r="184" spans="1:2">
      <c r="A184" t="s">
        <v>1089</v>
      </c>
      <c r="B184">
        <v>7.8125E-3</v>
      </c>
    </row>
    <row r="185" spans="1:2">
      <c r="A185" t="s">
        <v>559</v>
      </c>
      <c r="B185">
        <v>0</v>
      </c>
    </row>
    <row r="186" spans="1:2">
      <c r="A186" t="s">
        <v>683</v>
      </c>
      <c r="B186">
        <v>0</v>
      </c>
    </row>
    <row r="187" spans="1:2">
      <c r="A187" t="s">
        <v>560</v>
      </c>
      <c r="B187">
        <v>0</v>
      </c>
    </row>
    <row r="188" spans="1:2">
      <c r="A188" t="s">
        <v>1090</v>
      </c>
      <c r="B188">
        <v>0</v>
      </c>
    </row>
    <row r="189" spans="1:2">
      <c r="A189" t="s">
        <v>561</v>
      </c>
      <c r="B189">
        <v>0</v>
      </c>
    </row>
    <row r="190" spans="1:2">
      <c r="A190" t="s">
        <v>553</v>
      </c>
      <c r="B190">
        <v>7.8125E-3</v>
      </c>
    </row>
    <row r="191" spans="1:2">
      <c r="A191" t="s">
        <v>562</v>
      </c>
      <c r="B191">
        <v>0</v>
      </c>
    </row>
    <row r="192" spans="1:2">
      <c r="A192" t="s">
        <v>554</v>
      </c>
      <c r="B192">
        <v>0</v>
      </c>
    </row>
    <row r="193" spans="1:2">
      <c r="A193" t="s">
        <v>555</v>
      </c>
      <c r="B193">
        <v>0.1953125</v>
      </c>
    </row>
    <row r="194" spans="1:2">
      <c r="A194" t="s">
        <v>556</v>
      </c>
      <c r="B194">
        <v>2.34375E-2</v>
      </c>
    </row>
    <row r="195" spans="1:2">
      <c r="A195" t="s">
        <v>397</v>
      </c>
      <c r="B195">
        <v>0.140625</v>
      </c>
    </row>
    <row r="196" spans="1:2">
      <c r="A196" t="s">
        <v>557</v>
      </c>
      <c r="B196">
        <v>0</v>
      </c>
    </row>
    <row r="197" spans="1:2">
      <c r="A197" t="s">
        <v>548</v>
      </c>
      <c r="B197">
        <v>0</v>
      </c>
    </row>
    <row r="198" spans="1:2">
      <c r="A198" t="s">
        <v>558</v>
      </c>
      <c r="B198">
        <v>0</v>
      </c>
    </row>
    <row r="199" spans="1:2">
      <c r="A199" t="s">
        <v>1089</v>
      </c>
      <c r="B199">
        <v>0</v>
      </c>
    </row>
    <row r="200" spans="1:2">
      <c r="A200" t="s">
        <v>559</v>
      </c>
      <c r="B200">
        <v>0</v>
      </c>
    </row>
    <row r="201" spans="1:2">
      <c r="A201" t="s">
        <v>683</v>
      </c>
      <c r="B201">
        <v>7.8125E-3</v>
      </c>
    </row>
    <row r="202" spans="1:2">
      <c r="A202" t="s">
        <v>560</v>
      </c>
      <c r="B202">
        <v>0</v>
      </c>
    </row>
    <row r="203" spans="1:2">
      <c r="A203" t="s">
        <v>1090</v>
      </c>
      <c r="B203">
        <v>0</v>
      </c>
    </row>
    <row r="204" spans="1:2">
      <c r="A204" t="s">
        <v>561</v>
      </c>
      <c r="B204">
        <v>0</v>
      </c>
    </row>
    <row r="205" spans="1:2">
      <c r="A205" t="s">
        <v>553</v>
      </c>
      <c r="B205">
        <v>7.8125E-3</v>
      </c>
    </row>
    <row r="206" spans="1:2">
      <c r="A206" t="s">
        <v>562</v>
      </c>
      <c r="B206">
        <v>0</v>
      </c>
    </row>
    <row r="207" spans="1:2">
      <c r="A207" t="s">
        <v>554</v>
      </c>
      <c r="B207">
        <v>0</v>
      </c>
    </row>
    <row r="208" spans="1:2">
      <c r="A208" t="s">
        <v>555</v>
      </c>
      <c r="B208">
        <v>0.203125</v>
      </c>
    </row>
    <row r="209" spans="1:2">
      <c r="A209" t="s">
        <v>556</v>
      </c>
      <c r="B209">
        <v>2.34375E-2</v>
      </c>
    </row>
    <row r="210" spans="1:2">
      <c r="A210" t="s">
        <v>397</v>
      </c>
      <c r="B210">
        <v>0.1484375</v>
      </c>
    </row>
    <row r="211" spans="1:2">
      <c r="A211" t="s">
        <v>557</v>
      </c>
      <c r="B211">
        <v>0</v>
      </c>
    </row>
    <row r="212" spans="1:2">
      <c r="A212" t="s">
        <v>548</v>
      </c>
      <c r="B212">
        <v>0</v>
      </c>
    </row>
    <row r="213" spans="1:2">
      <c r="A213" t="s">
        <v>558</v>
      </c>
      <c r="B213">
        <v>0</v>
      </c>
    </row>
    <row r="214" spans="1:2">
      <c r="A214" t="s">
        <v>1089</v>
      </c>
      <c r="B214">
        <v>0</v>
      </c>
    </row>
    <row r="215" spans="1:2">
      <c r="A215" t="s">
        <v>559</v>
      </c>
      <c r="B215">
        <v>0</v>
      </c>
    </row>
    <row r="216" spans="1:2">
      <c r="A216" t="s">
        <v>683</v>
      </c>
      <c r="B216">
        <v>7.8125E-3</v>
      </c>
    </row>
    <row r="217" spans="1:2">
      <c r="A217" t="s">
        <v>560</v>
      </c>
      <c r="B217">
        <v>0</v>
      </c>
    </row>
    <row r="218" spans="1:2">
      <c r="A218" t="s">
        <v>1090</v>
      </c>
      <c r="B218">
        <v>0</v>
      </c>
    </row>
    <row r="219" spans="1:2">
      <c r="A219" t="s">
        <v>561</v>
      </c>
      <c r="B219">
        <v>0</v>
      </c>
    </row>
    <row r="220" spans="1:2">
      <c r="A220" t="s">
        <v>553</v>
      </c>
      <c r="B220">
        <v>0</v>
      </c>
    </row>
    <row r="221" spans="1:2">
      <c r="A221" t="s">
        <v>562</v>
      </c>
      <c r="B221">
        <v>0</v>
      </c>
    </row>
    <row r="222" spans="1:2">
      <c r="A222" t="s">
        <v>554</v>
      </c>
      <c r="B222">
        <v>0</v>
      </c>
    </row>
    <row r="223" spans="1:2">
      <c r="A223" t="s">
        <v>555</v>
      </c>
      <c r="B223">
        <v>0.203125</v>
      </c>
    </row>
    <row r="224" spans="1:2">
      <c r="A224" t="s">
        <v>556</v>
      </c>
      <c r="B224">
        <v>1.5625E-2</v>
      </c>
    </row>
    <row r="225" spans="1:2">
      <c r="A225" t="s">
        <v>397</v>
      </c>
      <c r="B225">
        <v>0.140625</v>
      </c>
    </row>
    <row r="226" spans="1:2">
      <c r="A226" t="s">
        <v>557</v>
      </c>
      <c r="B226">
        <v>0</v>
      </c>
    </row>
    <row r="227" spans="1:2">
      <c r="A227" t="s">
        <v>548</v>
      </c>
      <c r="B227">
        <v>0</v>
      </c>
    </row>
    <row r="228" spans="1:2">
      <c r="A228" t="s">
        <v>558</v>
      </c>
      <c r="B228">
        <v>0</v>
      </c>
    </row>
    <row r="229" spans="1:2">
      <c r="A229" t="s">
        <v>1089</v>
      </c>
      <c r="B229">
        <v>0</v>
      </c>
    </row>
    <row r="230" spans="1:2">
      <c r="A230" t="s">
        <v>559</v>
      </c>
      <c r="B230">
        <v>0</v>
      </c>
    </row>
    <row r="231" spans="1:2">
      <c r="A231" t="s">
        <v>683</v>
      </c>
      <c r="B231">
        <v>0</v>
      </c>
    </row>
    <row r="232" spans="1:2">
      <c r="A232" t="s">
        <v>560</v>
      </c>
      <c r="B232">
        <v>0</v>
      </c>
    </row>
    <row r="233" spans="1:2">
      <c r="A233" t="s">
        <v>1090</v>
      </c>
      <c r="B233">
        <v>7.8125E-3</v>
      </c>
    </row>
    <row r="234" spans="1:2">
      <c r="A234" t="s">
        <v>561</v>
      </c>
      <c r="B234">
        <v>0</v>
      </c>
    </row>
    <row r="235" spans="1:2">
      <c r="A235" t="s">
        <v>553</v>
      </c>
      <c r="B235">
        <v>0</v>
      </c>
    </row>
    <row r="236" spans="1:2">
      <c r="A236" t="s">
        <v>562</v>
      </c>
      <c r="B236">
        <v>0</v>
      </c>
    </row>
    <row r="237" spans="1:2">
      <c r="A237" t="s">
        <v>554</v>
      </c>
      <c r="B237">
        <v>0</v>
      </c>
    </row>
    <row r="238" spans="1:2">
      <c r="A238" t="s">
        <v>555</v>
      </c>
      <c r="B238">
        <v>0.1953125</v>
      </c>
    </row>
    <row r="239" spans="1:2">
      <c r="A239" t="s">
        <v>556</v>
      </c>
      <c r="B239">
        <v>2.34375E-2</v>
      </c>
    </row>
    <row r="240" spans="1:2">
      <c r="A240" t="s">
        <v>397</v>
      </c>
      <c r="B240">
        <v>0.1484375</v>
      </c>
    </row>
    <row r="241" spans="1:2">
      <c r="A241" t="s">
        <v>557</v>
      </c>
      <c r="B241">
        <v>0</v>
      </c>
    </row>
    <row r="242" spans="1:2">
      <c r="A242" t="s">
        <v>548</v>
      </c>
      <c r="B242">
        <v>0</v>
      </c>
    </row>
    <row r="243" spans="1:2">
      <c r="A243" t="s">
        <v>558</v>
      </c>
      <c r="B243">
        <v>0</v>
      </c>
    </row>
    <row r="244" spans="1:2">
      <c r="A244" t="s">
        <v>1089</v>
      </c>
      <c r="B244">
        <v>0</v>
      </c>
    </row>
    <row r="245" spans="1:2">
      <c r="A245" t="s">
        <v>559</v>
      </c>
      <c r="B245">
        <v>0</v>
      </c>
    </row>
    <row r="246" spans="1:2">
      <c r="A246" t="s">
        <v>683</v>
      </c>
      <c r="B246">
        <v>0</v>
      </c>
    </row>
    <row r="247" spans="1:2">
      <c r="A247" t="s">
        <v>560</v>
      </c>
      <c r="B247">
        <v>0</v>
      </c>
    </row>
    <row r="248" spans="1:2">
      <c r="A248" t="s">
        <v>1090</v>
      </c>
      <c r="B248">
        <v>0</v>
      </c>
    </row>
    <row r="249" spans="1:2">
      <c r="A249" t="s">
        <v>561</v>
      </c>
      <c r="B249">
        <v>0</v>
      </c>
    </row>
    <row r="250" spans="1:2">
      <c r="A250" t="s">
        <v>553</v>
      </c>
      <c r="B250">
        <v>7.8125E-3</v>
      </c>
    </row>
    <row r="251" spans="1:2">
      <c r="A251" t="s">
        <v>562</v>
      </c>
      <c r="B251">
        <v>0</v>
      </c>
    </row>
    <row r="252" spans="1:2">
      <c r="A252" t="s">
        <v>554</v>
      </c>
      <c r="B252">
        <v>0</v>
      </c>
    </row>
    <row r="253" spans="1:2">
      <c r="A253" t="s">
        <v>555</v>
      </c>
      <c r="B253">
        <v>0.203125</v>
      </c>
    </row>
    <row r="254" spans="1:2">
      <c r="A254" t="s">
        <v>556</v>
      </c>
      <c r="B254">
        <v>2.34375E-2</v>
      </c>
    </row>
    <row r="255" spans="1:2">
      <c r="A255" t="s">
        <v>397</v>
      </c>
      <c r="B255">
        <v>0.1484375</v>
      </c>
    </row>
    <row r="256" spans="1:2">
      <c r="A256" t="s">
        <v>557</v>
      </c>
      <c r="B256">
        <v>0</v>
      </c>
    </row>
    <row r="257" spans="1:2">
      <c r="A257" t="s">
        <v>548</v>
      </c>
      <c r="B257">
        <v>0</v>
      </c>
    </row>
    <row r="258" spans="1:2">
      <c r="A258" t="s">
        <v>558</v>
      </c>
      <c r="B258">
        <v>0</v>
      </c>
    </row>
    <row r="259" spans="1:2">
      <c r="A259" t="s">
        <v>1089</v>
      </c>
      <c r="B259">
        <v>0</v>
      </c>
    </row>
    <row r="260" spans="1:2">
      <c r="A260" t="s">
        <v>559</v>
      </c>
      <c r="B260">
        <v>0</v>
      </c>
    </row>
    <row r="261" spans="1:2">
      <c r="A261" t="s">
        <v>683</v>
      </c>
      <c r="B261">
        <v>0</v>
      </c>
    </row>
    <row r="262" spans="1:2">
      <c r="A262" t="s">
        <v>560</v>
      </c>
      <c r="B262">
        <v>0</v>
      </c>
    </row>
    <row r="263" spans="1:2">
      <c r="A263" t="s">
        <v>1090</v>
      </c>
      <c r="B263">
        <v>0</v>
      </c>
    </row>
    <row r="264" spans="1:2">
      <c r="A264" t="s">
        <v>561</v>
      </c>
      <c r="B264">
        <v>0</v>
      </c>
    </row>
    <row r="265" spans="1:2">
      <c r="A265" t="s">
        <v>553</v>
      </c>
      <c r="B265">
        <v>7.8125E-3</v>
      </c>
    </row>
    <row r="266" spans="1:2">
      <c r="A266" t="s">
        <v>562</v>
      </c>
      <c r="B266">
        <v>0</v>
      </c>
    </row>
    <row r="267" spans="1:2">
      <c r="A267" t="s">
        <v>554</v>
      </c>
      <c r="B267">
        <v>0</v>
      </c>
    </row>
    <row r="268" spans="1:2">
      <c r="A268" t="s">
        <v>555</v>
      </c>
      <c r="B268">
        <v>0.203125</v>
      </c>
    </row>
    <row r="269" spans="1:2">
      <c r="A269" t="s">
        <v>556</v>
      </c>
      <c r="B269">
        <v>1.5625E-2</v>
      </c>
    </row>
    <row r="270" spans="1:2">
      <c r="A270" t="s">
        <v>397</v>
      </c>
      <c r="B270">
        <v>0.1484375</v>
      </c>
    </row>
    <row r="271" spans="1:2">
      <c r="A271" t="s">
        <v>557</v>
      </c>
      <c r="B271">
        <v>0</v>
      </c>
    </row>
    <row r="272" spans="1:2">
      <c r="A272" t="s">
        <v>548</v>
      </c>
      <c r="B272">
        <v>7.8125E-3</v>
      </c>
    </row>
    <row r="273" spans="1:2">
      <c r="A273" t="s">
        <v>558</v>
      </c>
      <c r="B273">
        <v>0</v>
      </c>
    </row>
    <row r="274" spans="1:2">
      <c r="A274" t="s">
        <v>1089</v>
      </c>
      <c r="B274">
        <v>7.8125E-3</v>
      </c>
    </row>
    <row r="275" spans="1:2">
      <c r="A275" t="s">
        <v>559</v>
      </c>
      <c r="B275">
        <v>0</v>
      </c>
    </row>
    <row r="276" spans="1:2">
      <c r="A276" t="s">
        <v>683</v>
      </c>
      <c r="B276">
        <v>0</v>
      </c>
    </row>
    <row r="277" spans="1:2">
      <c r="A277" t="s">
        <v>560</v>
      </c>
      <c r="B277">
        <v>0</v>
      </c>
    </row>
    <row r="278" spans="1:2">
      <c r="A278" t="s">
        <v>1090</v>
      </c>
      <c r="B278">
        <v>0</v>
      </c>
    </row>
    <row r="279" spans="1:2">
      <c r="A279" t="s">
        <v>561</v>
      </c>
      <c r="B279">
        <v>0</v>
      </c>
    </row>
    <row r="280" spans="1:2">
      <c r="A280" t="s">
        <v>553</v>
      </c>
      <c r="B280">
        <v>7.8125E-3</v>
      </c>
    </row>
    <row r="281" spans="1:2">
      <c r="A281" t="s">
        <v>562</v>
      </c>
      <c r="B281">
        <v>0</v>
      </c>
    </row>
    <row r="282" spans="1:2">
      <c r="A282" t="s">
        <v>554</v>
      </c>
      <c r="B282">
        <v>0</v>
      </c>
    </row>
    <row r="283" spans="1:2">
      <c r="A283" t="s">
        <v>555</v>
      </c>
      <c r="B283">
        <v>0.1953125</v>
      </c>
    </row>
    <row r="284" spans="1:2">
      <c r="A284" t="s">
        <v>556</v>
      </c>
      <c r="B284">
        <v>1.5625E-2</v>
      </c>
    </row>
    <row r="285" spans="1:2">
      <c r="A285" t="s">
        <v>397</v>
      </c>
      <c r="B285">
        <v>0.109375</v>
      </c>
    </row>
    <row r="286" spans="1:2">
      <c r="A286" t="s">
        <v>557</v>
      </c>
      <c r="B286">
        <v>0</v>
      </c>
    </row>
    <row r="287" spans="1:2">
      <c r="A287" t="s">
        <v>548</v>
      </c>
      <c r="B287">
        <v>0</v>
      </c>
    </row>
    <row r="288" spans="1:2">
      <c r="A288" t="s">
        <v>558</v>
      </c>
      <c r="B288">
        <v>0</v>
      </c>
    </row>
    <row r="289" spans="1:2">
      <c r="A289" t="s">
        <v>1089</v>
      </c>
      <c r="B289">
        <v>0</v>
      </c>
    </row>
    <row r="290" spans="1:2">
      <c r="A290" t="s">
        <v>559</v>
      </c>
      <c r="B290">
        <v>0</v>
      </c>
    </row>
    <row r="291" spans="1:2">
      <c r="A291" t="s">
        <v>683</v>
      </c>
      <c r="B291">
        <v>0</v>
      </c>
    </row>
    <row r="292" spans="1:2">
      <c r="A292" t="s">
        <v>560</v>
      </c>
      <c r="B292">
        <v>0</v>
      </c>
    </row>
    <row r="293" spans="1:2">
      <c r="A293" t="s">
        <v>1090</v>
      </c>
      <c r="B293">
        <v>0</v>
      </c>
    </row>
    <row r="294" spans="1:2">
      <c r="A294" t="s">
        <v>561</v>
      </c>
      <c r="B294">
        <v>0</v>
      </c>
    </row>
    <row r="295" spans="1:2">
      <c r="A295" t="s">
        <v>553</v>
      </c>
      <c r="B295">
        <v>7.8125E-3</v>
      </c>
    </row>
    <row r="296" spans="1:2">
      <c r="A296" t="s">
        <v>562</v>
      </c>
      <c r="B296">
        <v>0</v>
      </c>
    </row>
    <row r="297" spans="1:2">
      <c r="A297" t="s">
        <v>554</v>
      </c>
      <c r="B297">
        <v>0</v>
      </c>
    </row>
    <row r="298" spans="1:2">
      <c r="A298" t="s">
        <v>555</v>
      </c>
      <c r="B298">
        <v>0.15625</v>
      </c>
    </row>
    <row r="299" spans="1:2">
      <c r="A299" t="s">
        <v>556</v>
      </c>
      <c r="B299">
        <v>1.5625E-2</v>
      </c>
    </row>
    <row r="300" spans="1:2">
      <c r="A300" t="s">
        <v>397</v>
      </c>
      <c r="B300">
        <v>0.15625</v>
      </c>
    </row>
    <row r="301" spans="1:2">
      <c r="A301" t="s">
        <v>557</v>
      </c>
      <c r="B301">
        <v>0</v>
      </c>
    </row>
    <row r="302" spans="1:2">
      <c r="A302" t="s">
        <v>548</v>
      </c>
      <c r="B302">
        <v>0</v>
      </c>
    </row>
    <row r="303" spans="1:2">
      <c r="A303" t="s">
        <v>558</v>
      </c>
      <c r="B303">
        <v>0</v>
      </c>
    </row>
    <row r="304" spans="1:2">
      <c r="A304" t="s">
        <v>1089</v>
      </c>
      <c r="B304">
        <v>7.8125E-3</v>
      </c>
    </row>
    <row r="305" spans="1:2">
      <c r="A305" t="s">
        <v>559</v>
      </c>
      <c r="B305">
        <v>0</v>
      </c>
    </row>
    <row r="306" spans="1:2">
      <c r="A306" t="s">
        <v>683</v>
      </c>
      <c r="B306">
        <v>0</v>
      </c>
    </row>
    <row r="307" spans="1:2">
      <c r="A307" t="s">
        <v>560</v>
      </c>
      <c r="B307">
        <v>0</v>
      </c>
    </row>
    <row r="308" spans="1:2">
      <c r="A308" t="s">
        <v>1090</v>
      </c>
      <c r="B308">
        <v>0</v>
      </c>
    </row>
    <row r="309" spans="1:2">
      <c r="A309" t="s">
        <v>561</v>
      </c>
      <c r="B309">
        <v>0</v>
      </c>
    </row>
    <row r="310" spans="1:2">
      <c r="A310" t="s">
        <v>553</v>
      </c>
      <c r="B310">
        <v>7.8125E-3</v>
      </c>
    </row>
    <row r="311" spans="1:2">
      <c r="A311" t="s">
        <v>562</v>
      </c>
      <c r="B311">
        <v>0</v>
      </c>
    </row>
    <row r="312" spans="1:2">
      <c r="A312" t="s">
        <v>554</v>
      </c>
      <c r="B312">
        <v>0</v>
      </c>
    </row>
    <row r="313" spans="1:2">
      <c r="A313" t="s">
        <v>555</v>
      </c>
      <c r="B313">
        <v>0.203125</v>
      </c>
    </row>
    <row r="314" spans="1:2">
      <c r="A314" t="s">
        <v>556</v>
      </c>
      <c r="B314">
        <v>1.5625E-2</v>
      </c>
    </row>
    <row r="315" spans="1:2">
      <c r="A315" t="s">
        <v>397</v>
      </c>
      <c r="B315">
        <v>0.15625</v>
      </c>
    </row>
    <row r="316" spans="1:2">
      <c r="A316" t="s">
        <v>557</v>
      </c>
      <c r="B316">
        <v>0</v>
      </c>
    </row>
    <row r="317" spans="1:2">
      <c r="A317" t="s">
        <v>548</v>
      </c>
      <c r="B317">
        <v>0</v>
      </c>
    </row>
    <row r="318" spans="1:2">
      <c r="A318" t="s">
        <v>558</v>
      </c>
      <c r="B318">
        <v>0</v>
      </c>
    </row>
    <row r="319" spans="1:2">
      <c r="A319" t="s">
        <v>1089</v>
      </c>
      <c r="B319">
        <v>0</v>
      </c>
    </row>
    <row r="320" spans="1:2">
      <c r="A320" t="s">
        <v>559</v>
      </c>
      <c r="B320">
        <v>0</v>
      </c>
    </row>
    <row r="321" spans="1:2">
      <c r="A321" t="s">
        <v>683</v>
      </c>
      <c r="B321">
        <v>0</v>
      </c>
    </row>
    <row r="322" spans="1:2">
      <c r="A322" t="s">
        <v>560</v>
      </c>
      <c r="B322">
        <v>0</v>
      </c>
    </row>
    <row r="323" spans="1:2">
      <c r="A323" t="s">
        <v>1090</v>
      </c>
      <c r="B323">
        <v>7.8125E-3</v>
      </c>
    </row>
    <row r="324" spans="1:2">
      <c r="A324" t="s">
        <v>561</v>
      </c>
      <c r="B324">
        <v>0</v>
      </c>
    </row>
    <row r="325" spans="1:2">
      <c r="A325" t="s">
        <v>553</v>
      </c>
      <c r="B325">
        <v>0</v>
      </c>
    </row>
    <row r="326" spans="1:2">
      <c r="A326" t="s">
        <v>562</v>
      </c>
      <c r="B326">
        <v>0</v>
      </c>
    </row>
    <row r="327" spans="1:2">
      <c r="A327" t="s">
        <v>554</v>
      </c>
      <c r="B327">
        <v>0</v>
      </c>
    </row>
    <row r="328" spans="1:2">
      <c r="A328" t="s">
        <v>555</v>
      </c>
      <c r="B328">
        <v>0.2109375</v>
      </c>
    </row>
    <row r="329" spans="1:2">
      <c r="A329" t="s">
        <v>556</v>
      </c>
      <c r="B329">
        <v>2.34375E-2</v>
      </c>
    </row>
    <row r="330" spans="1:2">
      <c r="A330" t="s">
        <v>397</v>
      </c>
      <c r="B330">
        <v>0.140625</v>
      </c>
    </row>
    <row r="331" spans="1:2">
      <c r="A331" t="s">
        <v>557</v>
      </c>
      <c r="B331">
        <v>0</v>
      </c>
    </row>
    <row r="332" spans="1:2">
      <c r="A332" t="s">
        <v>548</v>
      </c>
      <c r="B332">
        <v>7.8125E-3</v>
      </c>
    </row>
    <row r="333" spans="1:2">
      <c r="A333" t="s">
        <v>558</v>
      </c>
      <c r="B333">
        <v>0</v>
      </c>
    </row>
    <row r="334" spans="1:2">
      <c r="A334" t="s">
        <v>1089</v>
      </c>
      <c r="B334">
        <v>0</v>
      </c>
    </row>
    <row r="335" spans="1:2">
      <c r="A335" t="s">
        <v>559</v>
      </c>
      <c r="B335">
        <v>0</v>
      </c>
    </row>
    <row r="336" spans="1:2">
      <c r="A336" t="s">
        <v>683</v>
      </c>
      <c r="B336">
        <v>0</v>
      </c>
    </row>
    <row r="337" spans="1:2">
      <c r="A337" t="s">
        <v>560</v>
      </c>
      <c r="B337">
        <v>0</v>
      </c>
    </row>
    <row r="338" spans="1:2">
      <c r="A338" t="s">
        <v>1090</v>
      </c>
      <c r="B338">
        <v>0</v>
      </c>
    </row>
    <row r="339" spans="1:2">
      <c r="A339" t="s">
        <v>561</v>
      </c>
      <c r="B339">
        <v>0</v>
      </c>
    </row>
    <row r="340" spans="1:2">
      <c r="A340" t="s">
        <v>553</v>
      </c>
      <c r="B340">
        <v>7.8125E-3</v>
      </c>
    </row>
    <row r="341" spans="1:2">
      <c r="A341" t="s">
        <v>562</v>
      </c>
      <c r="B341">
        <v>0</v>
      </c>
    </row>
    <row r="342" spans="1:2">
      <c r="A342" t="s">
        <v>554</v>
      </c>
      <c r="B342">
        <v>0</v>
      </c>
    </row>
    <row r="343" spans="1:2">
      <c r="A343" t="s">
        <v>555</v>
      </c>
      <c r="B343">
        <v>0.1953125</v>
      </c>
    </row>
    <row r="344" spans="1:2">
      <c r="A344" t="s">
        <v>556</v>
      </c>
      <c r="B344">
        <v>1.5625E-2</v>
      </c>
    </row>
    <row r="345" spans="1:2">
      <c r="A345" t="s">
        <v>397</v>
      </c>
      <c r="B345">
        <v>0.140625</v>
      </c>
    </row>
    <row r="346" spans="1:2">
      <c r="A346" t="s">
        <v>557</v>
      </c>
      <c r="B346">
        <v>0</v>
      </c>
    </row>
    <row r="347" spans="1:2">
      <c r="A347" t="s">
        <v>548</v>
      </c>
      <c r="B347">
        <v>7.8125E-3</v>
      </c>
    </row>
    <row r="348" spans="1:2">
      <c r="A348" t="s">
        <v>558</v>
      </c>
      <c r="B348">
        <v>0</v>
      </c>
    </row>
    <row r="349" spans="1:2">
      <c r="A349" t="s">
        <v>1089</v>
      </c>
      <c r="B349">
        <v>7.8125E-3</v>
      </c>
    </row>
    <row r="350" spans="1:2">
      <c r="A350" t="s">
        <v>559</v>
      </c>
      <c r="B350">
        <v>0</v>
      </c>
    </row>
    <row r="351" spans="1:2">
      <c r="A351" t="s">
        <v>683</v>
      </c>
      <c r="B351">
        <v>0</v>
      </c>
    </row>
    <row r="352" spans="1:2">
      <c r="A352" t="s">
        <v>560</v>
      </c>
      <c r="B352">
        <v>0</v>
      </c>
    </row>
    <row r="353" spans="1:2">
      <c r="A353" t="s">
        <v>1090</v>
      </c>
      <c r="B353">
        <v>0</v>
      </c>
    </row>
    <row r="354" spans="1:2">
      <c r="A354" t="s">
        <v>561</v>
      </c>
      <c r="B354">
        <v>0</v>
      </c>
    </row>
    <row r="355" spans="1:2">
      <c r="A355" t="s">
        <v>553</v>
      </c>
      <c r="B355">
        <v>7.8125E-3</v>
      </c>
    </row>
    <row r="356" spans="1:2">
      <c r="A356" t="s">
        <v>562</v>
      </c>
      <c r="B356">
        <v>0</v>
      </c>
    </row>
    <row r="357" spans="1:2">
      <c r="A357" t="s">
        <v>554</v>
      </c>
      <c r="B357">
        <v>0</v>
      </c>
    </row>
    <row r="358" spans="1:2">
      <c r="A358" t="s">
        <v>555</v>
      </c>
      <c r="B358">
        <v>0.1953125</v>
      </c>
    </row>
    <row r="359" spans="1:2">
      <c r="A359" t="s">
        <v>556</v>
      </c>
      <c r="B359">
        <v>1.5625E-2</v>
      </c>
    </row>
    <row r="360" spans="1:2">
      <c r="A360" t="s">
        <v>397</v>
      </c>
      <c r="B360">
        <v>0.140625</v>
      </c>
    </row>
    <row r="361" spans="1:2">
      <c r="A361" t="s">
        <v>557</v>
      </c>
      <c r="B361">
        <v>0</v>
      </c>
    </row>
    <row r="362" spans="1:2">
      <c r="A362" t="s">
        <v>548</v>
      </c>
      <c r="B362">
        <v>7.8125E-3</v>
      </c>
    </row>
    <row r="363" spans="1:2">
      <c r="A363" t="s">
        <v>558</v>
      </c>
      <c r="B363">
        <v>0</v>
      </c>
    </row>
    <row r="364" spans="1:2">
      <c r="A364" t="s">
        <v>1089</v>
      </c>
      <c r="B364">
        <v>0</v>
      </c>
    </row>
    <row r="365" spans="1:2">
      <c r="A365" t="s">
        <v>559</v>
      </c>
      <c r="B365">
        <v>0</v>
      </c>
    </row>
    <row r="366" spans="1:2">
      <c r="A366" t="s">
        <v>683</v>
      </c>
      <c r="B366">
        <v>0</v>
      </c>
    </row>
    <row r="367" spans="1:2">
      <c r="A367" t="s">
        <v>560</v>
      </c>
      <c r="B367">
        <v>0</v>
      </c>
    </row>
    <row r="368" spans="1:2">
      <c r="A368" t="s">
        <v>1090</v>
      </c>
      <c r="B368">
        <v>0</v>
      </c>
    </row>
    <row r="369" spans="1:2">
      <c r="A369" t="s">
        <v>561</v>
      </c>
      <c r="B369">
        <v>0</v>
      </c>
    </row>
    <row r="370" spans="1:2">
      <c r="A370" t="s">
        <v>553</v>
      </c>
      <c r="B370">
        <v>7.8125E-3</v>
      </c>
    </row>
    <row r="371" spans="1:2">
      <c r="A371" t="s">
        <v>562</v>
      </c>
      <c r="B371">
        <v>0</v>
      </c>
    </row>
    <row r="372" spans="1:2">
      <c r="A372" t="s">
        <v>554</v>
      </c>
      <c r="B372">
        <v>0</v>
      </c>
    </row>
    <row r="373" spans="1:2">
      <c r="A373" t="s">
        <v>555</v>
      </c>
      <c r="B373">
        <v>0.1875</v>
      </c>
    </row>
    <row r="374" spans="1:2">
      <c r="A374" t="s">
        <v>556</v>
      </c>
      <c r="B374">
        <v>2.34375E-2</v>
      </c>
    </row>
    <row r="375" spans="1:2">
      <c r="A375" t="s">
        <v>397</v>
      </c>
      <c r="B375">
        <v>0.140625</v>
      </c>
    </row>
    <row r="376" spans="1:2">
      <c r="A376" t="s">
        <v>557</v>
      </c>
      <c r="B376">
        <v>0</v>
      </c>
    </row>
    <row r="377" spans="1:2">
      <c r="A377" t="s">
        <v>548</v>
      </c>
      <c r="B377">
        <v>7.8125E-3</v>
      </c>
    </row>
    <row r="378" spans="1:2">
      <c r="A378" t="s">
        <v>558</v>
      </c>
      <c r="B378">
        <v>0</v>
      </c>
    </row>
    <row r="379" spans="1:2">
      <c r="A379" t="s">
        <v>1089</v>
      </c>
      <c r="B379">
        <v>0</v>
      </c>
    </row>
    <row r="380" spans="1:2">
      <c r="A380" t="s">
        <v>559</v>
      </c>
      <c r="B380">
        <v>0</v>
      </c>
    </row>
    <row r="381" spans="1:2">
      <c r="A381" t="s">
        <v>683</v>
      </c>
      <c r="B381">
        <v>0</v>
      </c>
    </row>
    <row r="382" spans="1:2">
      <c r="A382" t="s">
        <v>560</v>
      </c>
      <c r="B382">
        <v>0</v>
      </c>
    </row>
    <row r="383" spans="1:2">
      <c r="A383" t="s">
        <v>1090</v>
      </c>
      <c r="B383">
        <v>0</v>
      </c>
    </row>
    <row r="384" spans="1:2">
      <c r="A384" t="s">
        <v>561</v>
      </c>
      <c r="B384">
        <v>0</v>
      </c>
    </row>
    <row r="385" spans="1:2">
      <c r="A385" t="s">
        <v>553</v>
      </c>
      <c r="B385">
        <v>7.8125E-3</v>
      </c>
    </row>
    <row r="386" spans="1:2">
      <c r="A386" t="s">
        <v>562</v>
      </c>
      <c r="B386">
        <v>0</v>
      </c>
    </row>
    <row r="387" spans="1:2">
      <c r="A387" t="s">
        <v>554</v>
      </c>
      <c r="B387">
        <v>0</v>
      </c>
    </row>
    <row r="388" spans="1:2">
      <c r="A388" t="s">
        <v>555</v>
      </c>
      <c r="B388">
        <v>0.1875</v>
      </c>
    </row>
    <row r="389" spans="1:2">
      <c r="A389" t="s">
        <v>556</v>
      </c>
      <c r="B389">
        <v>1.5625E-2</v>
      </c>
    </row>
    <row r="390" spans="1:2">
      <c r="A390" t="s">
        <v>397</v>
      </c>
      <c r="B390">
        <v>0.1484375</v>
      </c>
    </row>
    <row r="391" spans="1:2">
      <c r="A391" t="s">
        <v>557</v>
      </c>
      <c r="B391">
        <v>0</v>
      </c>
    </row>
    <row r="392" spans="1:2">
      <c r="A392" t="s">
        <v>548</v>
      </c>
      <c r="B392">
        <v>0</v>
      </c>
    </row>
    <row r="393" spans="1:2">
      <c r="A393" t="s">
        <v>558</v>
      </c>
      <c r="B393">
        <v>0</v>
      </c>
    </row>
    <row r="394" spans="1:2">
      <c r="A394" t="s">
        <v>1089</v>
      </c>
      <c r="B394">
        <v>0</v>
      </c>
    </row>
    <row r="395" spans="1:2">
      <c r="A395" t="s">
        <v>559</v>
      </c>
      <c r="B395">
        <v>0</v>
      </c>
    </row>
    <row r="396" spans="1:2">
      <c r="A396" t="s">
        <v>683</v>
      </c>
      <c r="B396">
        <v>7.8125E-3</v>
      </c>
    </row>
    <row r="397" spans="1:2">
      <c r="A397" t="s">
        <v>560</v>
      </c>
      <c r="B397">
        <v>0</v>
      </c>
    </row>
    <row r="398" spans="1:2">
      <c r="A398" t="s">
        <v>1090</v>
      </c>
      <c r="B398">
        <v>0</v>
      </c>
    </row>
    <row r="399" spans="1:2">
      <c r="A399" t="s">
        <v>561</v>
      </c>
      <c r="B399">
        <v>0</v>
      </c>
    </row>
    <row r="400" spans="1:2">
      <c r="A400" t="s">
        <v>553</v>
      </c>
      <c r="B400">
        <v>0</v>
      </c>
    </row>
    <row r="401" spans="1:2">
      <c r="A401" t="s">
        <v>562</v>
      </c>
      <c r="B401">
        <v>0</v>
      </c>
    </row>
    <row r="402" spans="1:2">
      <c r="A402" t="s">
        <v>554</v>
      </c>
      <c r="B402">
        <v>0</v>
      </c>
    </row>
    <row r="403" spans="1:2">
      <c r="A403" t="s">
        <v>555</v>
      </c>
      <c r="B403">
        <v>0.203125</v>
      </c>
    </row>
    <row r="404" spans="1:2">
      <c r="A404" t="s">
        <v>556</v>
      </c>
      <c r="B404">
        <v>2.34375E-2</v>
      </c>
    </row>
    <row r="405" spans="1:2">
      <c r="A405" t="s">
        <v>397</v>
      </c>
      <c r="B405">
        <v>0.15625</v>
      </c>
    </row>
    <row r="406" spans="1:2">
      <c r="A406" t="s">
        <v>557</v>
      </c>
      <c r="B406">
        <v>0</v>
      </c>
    </row>
    <row r="407" spans="1:2">
      <c r="A407" t="s">
        <v>548</v>
      </c>
      <c r="B407">
        <v>0</v>
      </c>
    </row>
    <row r="408" spans="1:2">
      <c r="A408" t="s">
        <v>558</v>
      </c>
      <c r="B408">
        <v>0</v>
      </c>
    </row>
    <row r="409" spans="1:2">
      <c r="A409" t="s">
        <v>1089</v>
      </c>
      <c r="B409">
        <v>0</v>
      </c>
    </row>
    <row r="410" spans="1:2">
      <c r="A410" t="s">
        <v>559</v>
      </c>
      <c r="B410">
        <v>0</v>
      </c>
    </row>
    <row r="411" spans="1:2">
      <c r="A411" t="s">
        <v>683</v>
      </c>
      <c r="B411">
        <v>0</v>
      </c>
    </row>
    <row r="412" spans="1:2">
      <c r="A412" t="s">
        <v>560</v>
      </c>
      <c r="B412">
        <v>0</v>
      </c>
    </row>
    <row r="413" spans="1:2">
      <c r="A413" t="s">
        <v>1090</v>
      </c>
      <c r="B413">
        <v>0</v>
      </c>
    </row>
    <row r="414" spans="1:2">
      <c r="A414" t="s">
        <v>561</v>
      </c>
      <c r="B414">
        <v>0</v>
      </c>
    </row>
    <row r="415" spans="1:2">
      <c r="A415" t="s">
        <v>553</v>
      </c>
      <c r="B415">
        <v>0</v>
      </c>
    </row>
    <row r="416" spans="1:2">
      <c r="A416" t="s">
        <v>562</v>
      </c>
      <c r="B416">
        <v>0</v>
      </c>
    </row>
    <row r="417" spans="1:2">
      <c r="A417" t="s">
        <v>554</v>
      </c>
      <c r="B417">
        <v>0</v>
      </c>
    </row>
    <row r="418" spans="1:2">
      <c r="A418" t="s">
        <v>555</v>
      </c>
      <c r="B418">
        <v>0.2109375</v>
      </c>
    </row>
    <row r="419" spans="1:2">
      <c r="A419" t="s">
        <v>556</v>
      </c>
      <c r="B419">
        <v>2.34375E-2</v>
      </c>
    </row>
    <row r="420" spans="1:2">
      <c r="A420" t="s">
        <v>397</v>
      </c>
      <c r="B420">
        <v>0.1484375</v>
      </c>
    </row>
    <row r="421" spans="1:2">
      <c r="A421" t="s">
        <v>557</v>
      </c>
      <c r="B421">
        <v>0</v>
      </c>
    </row>
    <row r="422" spans="1:2">
      <c r="A422" t="s">
        <v>548</v>
      </c>
      <c r="B422">
        <v>7.8125E-3</v>
      </c>
    </row>
    <row r="423" spans="1:2">
      <c r="A423" t="s">
        <v>558</v>
      </c>
      <c r="B423">
        <v>0</v>
      </c>
    </row>
    <row r="424" spans="1:2">
      <c r="A424" t="s">
        <v>1089</v>
      </c>
      <c r="B424">
        <v>7.8125E-3</v>
      </c>
    </row>
    <row r="425" spans="1:2">
      <c r="A425" t="s">
        <v>559</v>
      </c>
      <c r="B425">
        <v>0</v>
      </c>
    </row>
    <row r="426" spans="1:2">
      <c r="A426" t="s">
        <v>683</v>
      </c>
      <c r="B426">
        <v>0</v>
      </c>
    </row>
    <row r="427" spans="1:2">
      <c r="A427" t="s">
        <v>560</v>
      </c>
      <c r="B427">
        <v>0</v>
      </c>
    </row>
    <row r="428" spans="1:2">
      <c r="A428" t="s">
        <v>1090</v>
      </c>
      <c r="B428">
        <v>0</v>
      </c>
    </row>
    <row r="429" spans="1:2">
      <c r="A429" t="s">
        <v>561</v>
      </c>
      <c r="B429">
        <v>0</v>
      </c>
    </row>
    <row r="430" spans="1:2">
      <c r="A430" t="s">
        <v>553</v>
      </c>
      <c r="B430">
        <v>7.8125E-3</v>
      </c>
    </row>
    <row r="431" spans="1:2">
      <c r="A431" t="s">
        <v>562</v>
      </c>
      <c r="B431">
        <v>0</v>
      </c>
    </row>
    <row r="432" spans="1:2">
      <c r="A432" t="s">
        <v>554</v>
      </c>
      <c r="B432">
        <v>0</v>
      </c>
    </row>
    <row r="433" spans="1:2">
      <c r="A433" t="s">
        <v>555</v>
      </c>
      <c r="B433">
        <v>0.203125</v>
      </c>
    </row>
    <row r="434" spans="1:2">
      <c r="A434" t="s">
        <v>556</v>
      </c>
      <c r="B434">
        <v>2.34375E-2</v>
      </c>
    </row>
    <row r="435" spans="1:2">
      <c r="A435" t="s">
        <v>557</v>
      </c>
      <c r="B435">
        <v>0</v>
      </c>
    </row>
    <row r="436" spans="1:2">
      <c r="A436" t="s">
        <v>397</v>
      </c>
      <c r="B436">
        <v>0.15625</v>
      </c>
    </row>
    <row r="437" spans="1:2">
      <c r="A437" t="s">
        <v>548</v>
      </c>
      <c r="B437">
        <v>0.15625</v>
      </c>
    </row>
    <row r="438" spans="1:2">
      <c r="A438" t="s">
        <v>557</v>
      </c>
      <c r="B438">
        <v>0</v>
      </c>
    </row>
    <row r="439" spans="1:2">
      <c r="A439" t="s">
        <v>397</v>
      </c>
      <c r="B439">
        <v>0.1640625</v>
      </c>
    </row>
    <row r="440" spans="1:2">
      <c r="A440" t="s">
        <v>548</v>
      </c>
      <c r="B440">
        <v>0.171875</v>
      </c>
    </row>
    <row r="441" spans="1:2">
      <c r="A441" t="s">
        <v>557</v>
      </c>
      <c r="B441">
        <v>0</v>
      </c>
    </row>
    <row r="442" spans="1:2">
      <c r="A442" t="s">
        <v>397</v>
      </c>
      <c r="B442">
        <v>0.1640625</v>
      </c>
    </row>
    <row r="443" spans="1:2">
      <c r="A443" t="s">
        <v>548</v>
      </c>
      <c r="B443">
        <v>0.1640625</v>
      </c>
    </row>
    <row r="444" spans="1:2">
      <c r="A444" t="s">
        <v>557</v>
      </c>
      <c r="B444">
        <v>0</v>
      </c>
    </row>
    <row r="445" spans="1:2">
      <c r="A445" t="s">
        <v>397</v>
      </c>
      <c r="B445">
        <v>0.1875</v>
      </c>
    </row>
    <row r="446" spans="1:2">
      <c r="A446" t="s">
        <v>548</v>
      </c>
      <c r="B446">
        <v>0.1875</v>
      </c>
    </row>
    <row r="447" spans="1:2">
      <c r="A447" t="s">
        <v>397</v>
      </c>
      <c r="B447">
        <v>0.15625</v>
      </c>
    </row>
    <row r="448" spans="1:2">
      <c r="A448" t="s">
        <v>557</v>
      </c>
      <c r="B448">
        <v>0</v>
      </c>
    </row>
    <row r="449" spans="1:2">
      <c r="A449" t="s">
        <v>548</v>
      </c>
      <c r="B449">
        <v>0</v>
      </c>
    </row>
    <row r="450" spans="1:2">
      <c r="A450" t="s">
        <v>558</v>
      </c>
      <c r="B450">
        <v>0</v>
      </c>
    </row>
    <row r="451" spans="1:2">
      <c r="A451" t="s">
        <v>1089</v>
      </c>
      <c r="B451">
        <v>7.8125E-3</v>
      </c>
    </row>
    <row r="452" spans="1:2">
      <c r="A452" t="s">
        <v>559</v>
      </c>
      <c r="B452">
        <v>0</v>
      </c>
    </row>
    <row r="453" spans="1:2">
      <c r="A453" t="s">
        <v>683</v>
      </c>
      <c r="B453">
        <v>0</v>
      </c>
    </row>
    <row r="454" spans="1:2">
      <c r="A454" t="s">
        <v>560</v>
      </c>
      <c r="B454">
        <v>0</v>
      </c>
    </row>
    <row r="455" spans="1:2">
      <c r="A455" t="s">
        <v>1090</v>
      </c>
      <c r="B455">
        <v>0</v>
      </c>
    </row>
    <row r="456" spans="1:2">
      <c r="A456" t="s">
        <v>561</v>
      </c>
      <c r="B456">
        <v>0</v>
      </c>
    </row>
    <row r="457" spans="1:2">
      <c r="A457" t="s">
        <v>553</v>
      </c>
      <c r="B457">
        <v>7.8125E-3</v>
      </c>
    </row>
    <row r="458" spans="1:2">
      <c r="A458" t="s">
        <v>562</v>
      </c>
      <c r="B458">
        <v>0</v>
      </c>
    </row>
    <row r="459" spans="1:2">
      <c r="A459" t="s">
        <v>554</v>
      </c>
      <c r="B459">
        <v>0</v>
      </c>
    </row>
    <row r="460" spans="1:2">
      <c r="A460" t="s">
        <v>555</v>
      </c>
      <c r="B460">
        <v>0.203125</v>
      </c>
    </row>
    <row r="461" spans="1:2">
      <c r="A461" t="s">
        <v>556</v>
      </c>
      <c r="B461">
        <v>2.34375E-2</v>
      </c>
    </row>
    <row r="462" spans="1:2">
      <c r="A462" t="s">
        <v>397</v>
      </c>
      <c r="B462">
        <v>0.140625</v>
      </c>
    </row>
    <row r="463" spans="1:2">
      <c r="A463" t="s">
        <v>557</v>
      </c>
      <c r="B463">
        <v>0</v>
      </c>
    </row>
    <row r="464" spans="1:2">
      <c r="A464" t="s">
        <v>548</v>
      </c>
      <c r="B464">
        <v>0</v>
      </c>
    </row>
    <row r="465" spans="1:2">
      <c r="A465" t="s">
        <v>558</v>
      </c>
      <c r="B465">
        <v>0</v>
      </c>
    </row>
    <row r="466" spans="1:2">
      <c r="A466" t="s">
        <v>1089</v>
      </c>
      <c r="B466">
        <v>0</v>
      </c>
    </row>
    <row r="467" spans="1:2">
      <c r="A467" t="s">
        <v>559</v>
      </c>
      <c r="B467">
        <v>0</v>
      </c>
    </row>
    <row r="468" spans="1:2">
      <c r="A468" t="s">
        <v>683</v>
      </c>
      <c r="B468">
        <v>7.8125E-3</v>
      </c>
    </row>
    <row r="469" spans="1:2">
      <c r="A469" t="s">
        <v>560</v>
      </c>
      <c r="B469">
        <v>0</v>
      </c>
    </row>
    <row r="470" spans="1:2">
      <c r="A470" t="s">
        <v>1090</v>
      </c>
      <c r="B470">
        <v>0</v>
      </c>
    </row>
    <row r="471" spans="1:2">
      <c r="A471" t="s">
        <v>561</v>
      </c>
      <c r="B471">
        <v>0</v>
      </c>
    </row>
    <row r="472" spans="1:2">
      <c r="A472" t="s">
        <v>553</v>
      </c>
      <c r="B472">
        <v>0</v>
      </c>
    </row>
    <row r="473" spans="1:2">
      <c r="A473" t="s">
        <v>562</v>
      </c>
      <c r="B473">
        <v>0</v>
      </c>
    </row>
    <row r="474" spans="1:2">
      <c r="A474" t="s">
        <v>554</v>
      </c>
      <c r="B474">
        <v>7.8125E-3</v>
      </c>
    </row>
    <row r="475" spans="1:2">
      <c r="A475" t="s">
        <v>555</v>
      </c>
      <c r="B475">
        <v>0.203125</v>
      </c>
    </row>
    <row r="476" spans="1:2">
      <c r="A476" t="s">
        <v>556</v>
      </c>
      <c r="B476">
        <v>3.125E-2</v>
      </c>
    </row>
    <row r="477" spans="1:2">
      <c r="A477" t="s">
        <v>397</v>
      </c>
      <c r="B477">
        <v>0.140625</v>
      </c>
    </row>
    <row r="478" spans="1:2">
      <c r="A478" t="s">
        <v>557</v>
      </c>
      <c r="B478">
        <v>0</v>
      </c>
    </row>
    <row r="479" spans="1:2">
      <c r="A479" t="s">
        <v>548</v>
      </c>
      <c r="B479">
        <v>0</v>
      </c>
    </row>
    <row r="480" spans="1:2">
      <c r="A480" t="s">
        <v>558</v>
      </c>
      <c r="B480">
        <v>0</v>
      </c>
    </row>
    <row r="481" spans="1:2">
      <c r="A481" t="s">
        <v>1089</v>
      </c>
      <c r="B481">
        <v>0</v>
      </c>
    </row>
    <row r="482" spans="1:2">
      <c r="A482" t="s">
        <v>559</v>
      </c>
      <c r="B482">
        <v>0</v>
      </c>
    </row>
    <row r="483" spans="1:2">
      <c r="A483" t="s">
        <v>683</v>
      </c>
      <c r="B483">
        <v>7.8125E-3</v>
      </c>
    </row>
    <row r="484" spans="1:2">
      <c r="A484" t="s">
        <v>560</v>
      </c>
      <c r="B484">
        <v>0</v>
      </c>
    </row>
    <row r="485" spans="1:2">
      <c r="A485" t="s">
        <v>1090</v>
      </c>
      <c r="B485">
        <v>0</v>
      </c>
    </row>
    <row r="486" spans="1:2">
      <c r="A486" t="s">
        <v>561</v>
      </c>
      <c r="B486">
        <v>0</v>
      </c>
    </row>
    <row r="487" spans="1:2">
      <c r="A487" t="s">
        <v>553</v>
      </c>
      <c r="B487">
        <v>0</v>
      </c>
    </row>
    <row r="488" spans="1:2">
      <c r="A488" t="s">
        <v>562</v>
      </c>
      <c r="B488">
        <v>0</v>
      </c>
    </row>
    <row r="489" spans="1:2">
      <c r="A489" t="s">
        <v>554</v>
      </c>
      <c r="B489">
        <v>7.8125E-3</v>
      </c>
    </row>
    <row r="490" spans="1:2">
      <c r="A490" t="s">
        <v>555</v>
      </c>
      <c r="B490">
        <v>0.203125</v>
      </c>
    </row>
    <row r="491" spans="1:2">
      <c r="A491" t="s">
        <v>556</v>
      </c>
      <c r="B491">
        <v>2.34375E-2</v>
      </c>
    </row>
    <row r="492" spans="1:2">
      <c r="A492" t="s">
        <v>397</v>
      </c>
      <c r="B492">
        <v>0.1484375</v>
      </c>
    </row>
    <row r="493" spans="1:2">
      <c r="A493" t="s">
        <v>557</v>
      </c>
      <c r="B493">
        <v>0</v>
      </c>
    </row>
    <row r="494" spans="1:2">
      <c r="A494" t="s">
        <v>548</v>
      </c>
      <c r="B494">
        <v>7.8125E-3</v>
      </c>
    </row>
    <row r="495" spans="1:2">
      <c r="A495" t="s">
        <v>558</v>
      </c>
      <c r="B495">
        <v>0</v>
      </c>
    </row>
    <row r="496" spans="1:2">
      <c r="A496" t="s">
        <v>1089</v>
      </c>
      <c r="B496">
        <v>0</v>
      </c>
    </row>
    <row r="497" spans="1:2">
      <c r="A497" t="s">
        <v>559</v>
      </c>
      <c r="B497">
        <v>0</v>
      </c>
    </row>
    <row r="498" spans="1:2">
      <c r="A498" t="s">
        <v>683</v>
      </c>
      <c r="B498">
        <v>7.8125E-3</v>
      </c>
    </row>
    <row r="499" spans="1:2">
      <c r="A499" t="s">
        <v>560</v>
      </c>
      <c r="B499">
        <v>0</v>
      </c>
    </row>
    <row r="500" spans="1:2">
      <c r="A500" t="s">
        <v>1090</v>
      </c>
      <c r="B500">
        <v>0</v>
      </c>
    </row>
    <row r="501" spans="1:2">
      <c r="A501" t="s">
        <v>561</v>
      </c>
      <c r="B501">
        <v>0</v>
      </c>
    </row>
    <row r="502" spans="1:2">
      <c r="A502" t="s">
        <v>553</v>
      </c>
      <c r="B502">
        <v>7.8125E-3</v>
      </c>
    </row>
    <row r="503" spans="1:2">
      <c r="A503" t="s">
        <v>562</v>
      </c>
      <c r="B503">
        <v>0</v>
      </c>
    </row>
    <row r="504" spans="1:2">
      <c r="A504" t="s">
        <v>554</v>
      </c>
      <c r="B504">
        <v>0</v>
      </c>
    </row>
    <row r="505" spans="1:2">
      <c r="A505" t="s">
        <v>555</v>
      </c>
      <c r="B505">
        <v>0.203125</v>
      </c>
    </row>
    <row r="506" spans="1:2">
      <c r="A506" t="s">
        <v>556</v>
      </c>
      <c r="B506">
        <v>1.5625E-2</v>
      </c>
    </row>
    <row r="507" spans="1:2">
      <c r="A507" t="s">
        <v>557</v>
      </c>
      <c r="B507">
        <v>0</v>
      </c>
    </row>
    <row r="508" spans="1:2">
      <c r="A508" t="s">
        <v>397</v>
      </c>
      <c r="B508">
        <v>0.15625</v>
      </c>
    </row>
    <row r="509" spans="1:2">
      <c r="A509" t="s">
        <v>548</v>
      </c>
      <c r="B509">
        <v>0.1640625</v>
      </c>
    </row>
    <row r="510" spans="1:2">
      <c r="A510" t="s">
        <v>397</v>
      </c>
      <c r="B510">
        <v>0.1640625</v>
      </c>
    </row>
    <row r="511" spans="1:2">
      <c r="A511" t="s">
        <v>557</v>
      </c>
      <c r="B511">
        <v>0</v>
      </c>
    </row>
    <row r="512" spans="1:2">
      <c r="A512" t="s">
        <v>548</v>
      </c>
      <c r="B512">
        <v>0</v>
      </c>
    </row>
    <row r="513" spans="1:2">
      <c r="A513" t="s">
        <v>558</v>
      </c>
      <c r="B513">
        <v>0</v>
      </c>
    </row>
    <row r="514" spans="1:2">
      <c r="A514" t="s">
        <v>1089</v>
      </c>
      <c r="B514">
        <v>0</v>
      </c>
    </row>
    <row r="515" spans="1:2">
      <c r="A515" t="s">
        <v>559</v>
      </c>
      <c r="B515">
        <v>0</v>
      </c>
    </row>
    <row r="516" spans="1:2">
      <c r="A516" t="s">
        <v>683</v>
      </c>
      <c r="B516">
        <v>0</v>
      </c>
    </row>
    <row r="517" spans="1:2">
      <c r="A517" t="s">
        <v>560</v>
      </c>
      <c r="B517">
        <v>0</v>
      </c>
    </row>
    <row r="518" spans="1:2">
      <c r="A518" t="s">
        <v>1090</v>
      </c>
      <c r="B518">
        <v>0</v>
      </c>
    </row>
    <row r="519" spans="1:2">
      <c r="A519" t="s">
        <v>561</v>
      </c>
      <c r="B519">
        <v>0</v>
      </c>
    </row>
    <row r="520" spans="1:2">
      <c r="A520" t="s">
        <v>553</v>
      </c>
      <c r="B520">
        <v>0</v>
      </c>
    </row>
    <row r="521" spans="1:2">
      <c r="A521" t="s">
        <v>562</v>
      </c>
      <c r="B521">
        <v>0</v>
      </c>
    </row>
    <row r="522" spans="1:2">
      <c r="A522" t="s">
        <v>554</v>
      </c>
      <c r="B522">
        <v>0</v>
      </c>
    </row>
    <row r="523" spans="1:2">
      <c r="A523" t="s">
        <v>555</v>
      </c>
      <c r="B523">
        <v>0.2109375</v>
      </c>
    </row>
    <row r="524" spans="1:2">
      <c r="A524" t="s">
        <v>556</v>
      </c>
      <c r="B524">
        <v>1.5625E-2</v>
      </c>
    </row>
    <row r="525" spans="1:2">
      <c r="A525" t="s">
        <v>557</v>
      </c>
      <c r="B525">
        <v>0</v>
      </c>
    </row>
    <row r="526" spans="1:2">
      <c r="A526" t="s">
        <v>397</v>
      </c>
      <c r="B526">
        <v>0.1640625</v>
      </c>
    </row>
    <row r="527" spans="1:2">
      <c r="A527" t="s">
        <v>548</v>
      </c>
      <c r="B527">
        <v>0.1640625</v>
      </c>
    </row>
    <row r="528" spans="1:2">
      <c r="A528" t="s">
        <v>558</v>
      </c>
      <c r="B528">
        <v>0</v>
      </c>
    </row>
    <row r="529" spans="1:2">
      <c r="A529" t="s">
        <v>397</v>
      </c>
      <c r="B529">
        <v>0.15625</v>
      </c>
    </row>
    <row r="530" spans="1:2">
      <c r="A530" t="s">
        <v>1089</v>
      </c>
      <c r="B530">
        <v>0.15625</v>
      </c>
    </row>
    <row r="531" spans="1:2">
      <c r="A531" t="s">
        <v>557</v>
      </c>
      <c r="B531">
        <v>0</v>
      </c>
    </row>
    <row r="532" spans="1:2">
      <c r="A532" t="s">
        <v>397</v>
      </c>
      <c r="B532">
        <v>0.171875</v>
      </c>
    </row>
    <row r="533" spans="1:2">
      <c r="A533" t="s">
        <v>548</v>
      </c>
      <c r="B533">
        <v>0.171875</v>
      </c>
    </row>
    <row r="534" spans="1:2">
      <c r="A534" t="s">
        <v>558</v>
      </c>
      <c r="B534">
        <v>0</v>
      </c>
    </row>
    <row r="535" spans="1:2">
      <c r="A535" t="s">
        <v>397</v>
      </c>
      <c r="B535">
        <v>0.1640625</v>
      </c>
    </row>
    <row r="536" spans="1:2">
      <c r="A536" t="s">
        <v>1089</v>
      </c>
      <c r="B536">
        <v>0.1640625</v>
      </c>
    </row>
    <row r="537" spans="1:2">
      <c r="A537" t="s">
        <v>558</v>
      </c>
      <c r="B537">
        <v>0</v>
      </c>
    </row>
    <row r="538" spans="1:2">
      <c r="A538" t="s">
        <v>397</v>
      </c>
      <c r="B538">
        <v>0.1640625</v>
      </c>
    </row>
    <row r="539" spans="1:2">
      <c r="A539" t="s">
        <v>1089</v>
      </c>
      <c r="B539">
        <v>0.171875</v>
      </c>
    </row>
    <row r="540" spans="1:2">
      <c r="A540" t="s">
        <v>559</v>
      </c>
      <c r="B540">
        <v>0</v>
      </c>
    </row>
    <row r="541" spans="1:2">
      <c r="A541" t="s">
        <v>397</v>
      </c>
      <c r="B541">
        <v>0.1328125</v>
      </c>
    </row>
    <row r="542" spans="1:2">
      <c r="A542" t="s">
        <v>683</v>
      </c>
      <c r="B542">
        <v>0.140625</v>
      </c>
    </row>
    <row r="543" spans="1:2">
      <c r="A543" t="s">
        <v>558</v>
      </c>
      <c r="B543">
        <v>0</v>
      </c>
    </row>
    <row r="544" spans="1:2">
      <c r="A544" t="s">
        <v>397</v>
      </c>
      <c r="B544">
        <v>0.171875</v>
      </c>
    </row>
    <row r="545" spans="1:2">
      <c r="A545" t="s">
        <v>1089</v>
      </c>
      <c r="B545">
        <v>0.171875</v>
      </c>
    </row>
    <row r="546" spans="1:2">
      <c r="A546" t="s">
        <v>559</v>
      </c>
      <c r="B546">
        <v>0</v>
      </c>
    </row>
    <row r="547" spans="1:2">
      <c r="A547" t="s">
        <v>397</v>
      </c>
      <c r="B547">
        <v>0.1484375</v>
      </c>
    </row>
    <row r="548" spans="1:2">
      <c r="A548" t="s">
        <v>683</v>
      </c>
      <c r="B548">
        <v>0.15625</v>
      </c>
    </row>
    <row r="549" spans="1:2">
      <c r="A549" t="s">
        <v>560</v>
      </c>
      <c r="B549">
        <v>0</v>
      </c>
    </row>
    <row r="550" spans="1:2">
      <c r="A550" t="s">
        <v>397</v>
      </c>
      <c r="B550">
        <v>0.1484375</v>
      </c>
    </row>
    <row r="551" spans="1:2">
      <c r="A551" t="s">
        <v>1090</v>
      </c>
      <c r="B551">
        <v>0.15625</v>
      </c>
    </row>
    <row r="552" spans="1:2">
      <c r="A552" t="s">
        <v>559</v>
      </c>
      <c r="B552">
        <v>0</v>
      </c>
    </row>
    <row r="553" spans="1:2">
      <c r="A553" t="s">
        <v>397</v>
      </c>
      <c r="B553">
        <v>0.171875</v>
      </c>
    </row>
    <row r="554" spans="1:2">
      <c r="A554" t="s">
        <v>683</v>
      </c>
      <c r="B554">
        <v>0.1796875</v>
      </c>
    </row>
    <row r="555" spans="1:2">
      <c r="A555" t="s">
        <v>560</v>
      </c>
      <c r="B555">
        <v>0</v>
      </c>
    </row>
    <row r="556" spans="1:2">
      <c r="A556" t="s">
        <v>397</v>
      </c>
      <c r="B556">
        <v>0.140625</v>
      </c>
    </row>
    <row r="557" spans="1:2">
      <c r="A557" t="s">
        <v>1090</v>
      </c>
      <c r="B557">
        <v>0.1484375</v>
      </c>
    </row>
    <row r="558" spans="1:2">
      <c r="A558" t="s">
        <v>559</v>
      </c>
      <c r="B558">
        <v>0</v>
      </c>
    </row>
    <row r="559" spans="1:2">
      <c r="A559" t="s">
        <v>397</v>
      </c>
      <c r="B559">
        <v>0.1328125</v>
      </c>
    </row>
    <row r="560" spans="1:2">
      <c r="A560" t="s">
        <v>683</v>
      </c>
      <c r="B560">
        <v>0.140625</v>
      </c>
    </row>
    <row r="561" spans="1:2">
      <c r="A561" t="s">
        <v>560</v>
      </c>
      <c r="B561">
        <v>0</v>
      </c>
    </row>
    <row r="562" spans="1:2">
      <c r="A562" t="s">
        <v>397</v>
      </c>
      <c r="B562">
        <v>0.1484375</v>
      </c>
    </row>
    <row r="563" spans="1:2">
      <c r="A563" t="s">
        <v>1090</v>
      </c>
      <c r="B563">
        <v>0.1484375</v>
      </c>
    </row>
    <row r="564" spans="1:2">
      <c r="A564" t="s">
        <v>561</v>
      </c>
      <c r="B564">
        <v>0</v>
      </c>
    </row>
    <row r="565" spans="1:2">
      <c r="A565" t="s">
        <v>397</v>
      </c>
      <c r="B565">
        <v>0.140625</v>
      </c>
    </row>
    <row r="566" spans="1:2">
      <c r="A566" t="s">
        <v>553</v>
      </c>
      <c r="B566">
        <v>0.1484375</v>
      </c>
    </row>
    <row r="567" spans="1:2">
      <c r="A567" t="s">
        <v>561</v>
      </c>
      <c r="B567">
        <v>0</v>
      </c>
    </row>
    <row r="568" spans="1:2">
      <c r="A568" t="s">
        <v>397</v>
      </c>
      <c r="B568">
        <v>0.15625</v>
      </c>
    </row>
    <row r="569" spans="1:2">
      <c r="A569" t="s">
        <v>553</v>
      </c>
      <c r="B569">
        <v>0.1640625</v>
      </c>
    </row>
    <row r="570" spans="1:2">
      <c r="A570" t="s">
        <v>561</v>
      </c>
      <c r="B570">
        <v>0</v>
      </c>
    </row>
    <row r="571" spans="1:2">
      <c r="A571" t="s">
        <v>397</v>
      </c>
      <c r="B571">
        <v>0.140625</v>
      </c>
    </row>
    <row r="572" spans="1:2">
      <c r="A572" t="s">
        <v>553</v>
      </c>
      <c r="B572">
        <v>0.15625</v>
      </c>
    </row>
    <row r="573" spans="1:2">
      <c r="A573" t="s">
        <v>560</v>
      </c>
      <c r="B573">
        <v>0</v>
      </c>
    </row>
    <row r="574" spans="1:2">
      <c r="A574" t="s">
        <v>397</v>
      </c>
      <c r="B574">
        <v>0.1640625</v>
      </c>
    </row>
    <row r="575" spans="1:2">
      <c r="A575" t="s">
        <v>1090</v>
      </c>
      <c r="B575">
        <v>0.1640625</v>
      </c>
    </row>
    <row r="576" spans="1:2">
      <c r="A576" t="s">
        <v>561</v>
      </c>
      <c r="B576">
        <v>0</v>
      </c>
    </row>
    <row r="577" spans="1:2">
      <c r="A577" t="s">
        <v>397</v>
      </c>
      <c r="B577">
        <v>0.140625</v>
      </c>
    </row>
    <row r="578" spans="1:2">
      <c r="A578" t="s">
        <v>553</v>
      </c>
      <c r="B578">
        <v>0.140625</v>
      </c>
    </row>
    <row r="579" spans="1:2">
      <c r="A579" t="s">
        <v>561</v>
      </c>
      <c r="B579">
        <v>0</v>
      </c>
    </row>
    <row r="580" spans="1:2">
      <c r="A580" t="s">
        <v>397</v>
      </c>
      <c r="B580">
        <v>0.140625</v>
      </c>
    </row>
    <row r="581" spans="1:2">
      <c r="A581" t="s">
        <v>553</v>
      </c>
      <c r="B581">
        <v>0.1484375</v>
      </c>
    </row>
    <row r="582" spans="1:2">
      <c r="A582" t="s">
        <v>560</v>
      </c>
      <c r="B582">
        <v>0</v>
      </c>
    </row>
    <row r="583" spans="1:2">
      <c r="A583" t="s">
        <v>397</v>
      </c>
      <c r="B583">
        <v>0.1484375</v>
      </c>
    </row>
    <row r="584" spans="1:2">
      <c r="A584" t="s">
        <v>1090</v>
      </c>
      <c r="B584">
        <v>0.1484375</v>
      </c>
    </row>
    <row r="585" spans="1:2">
      <c r="A585" t="s">
        <v>561</v>
      </c>
      <c r="B585">
        <v>0</v>
      </c>
    </row>
    <row r="586" spans="1:2">
      <c r="A586" t="s">
        <v>397</v>
      </c>
      <c r="B586">
        <v>0.15625</v>
      </c>
    </row>
    <row r="587" spans="1:2">
      <c r="A587" t="s">
        <v>553</v>
      </c>
      <c r="B587">
        <v>0.15625</v>
      </c>
    </row>
    <row r="588" spans="1:2">
      <c r="A588" t="s">
        <v>397</v>
      </c>
      <c r="B588">
        <v>0.15625</v>
      </c>
    </row>
    <row r="589" spans="1:2">
      <c r="A589" t="s">
        <v>557</v>
      </c>
      <c r="B589">
        <v>0</v>
      </c>
    </row>
    <row r="590" spans="1:2">
      <c r="A590" t="s">
        <v>548</v>
      </c>
      <c r="B590">
        <v>7.8125E-3</v>
      </c>
    </row>
    <row r="591" spans="1:2">
      <c r="A591" t="s">
        <v>558</v>
      </c>
      <c r="B591">
        <v>0</v>
      </c>
    </row>
    <row r="592" spans="1:2">
      <c r="A592" t="s">
        <v>1089</v>
      </c>
      <c r="B592">
        <v>0</v>
      </c>
    </row>
    <row r="593" spans="1:2">
      <c r="A593" t="s">
        <v>559</v>
      </c>
      <c r="B593">
        <v>0</v>
      </c>
    </row>
    <row r="594" spans="1:2">
      <c r="A594" t="s">
        <v>683</v>
      </c>
      <c r="B594">
        <v>0</v>
      </c>
    </row>
    <row r="595" spans="1:2">
      <c r="A595" t="s">
        <v>560</v>
      </c>
      <c r="B595">
        <v>0</v>
      </c>
    </row>
    <row r="596" spans="1:2">
      <c r="A596" t="s">
        <v>1090</v>
      </c>
      <c r="B596">
        <v>0</v>
      </c>
    </row>
    <row r="597" spans="1:2">
      <c r="A597" t="s">
        <v>561</v>
      </c>
      <c r="B597">
        <v>0</v>
      </c>
    </row>
    <row r="598" spans="1:2">
      <c r="A598" t="s">
        <v>553</v>
      </c>
      <c r="B598">
        <v>7.8125E-3</v>
      </c>
    </row>
    <row r="599" spans="1:2">
      <c r="A599" t="s">
        <v>562</v>
      </c>
      <c r="B599">
        <v>0</v>
      </c>
    </row>
    <row r="600" spans="1:2">
      <c r="A600" t="s">
        <v>554</v>
      </c>
      <c r="B600">
        <v>7.8125E-3</v>
      </c>
    </row>
    <row r="601" spans="1:2">
      <c r="A601" t="s">
        <v>555</v>
      </c>
      <c r="B601">
        <v>0.21875</v>
      </c>
    </row>
    <row r="602" spans="1:2">
      <c r="A602" t="s">
        <v>556</v>
      </c>
      <c r="B602">
        <v>2.34375E-2</v>
      </c>
    </row>
    <row r="603" spans="1:2">
      <c r="A603" t="s">
        <v>397</v>
      </c>
      <c r="B603">
        <v>0.15625</v>
      </c>
    </row>
    <row r="604" spans="1:2">
      <c r="A604" t="s">
        <v>557</v>
      </c>
      <c r="B604">
        <v>0</v>
      </c>
    </row>
    <row r="605" spans="1:2">
      <c r="A605" t="s">
        <v>548</v>
      </c>
      <c r="B605">
        <v>0</v>
      </c>
    </row>
    <row r="606" spans="1:2">
      <c r="A606" t="s">
        <v>558</v>
      </c>
      <c r="B606">
        <v>0</v>
      </c>
    </row>
    <row r="607" spans="1:2">
      <c r="A607" t="s">
        <v>1089</v>
      </c>
      <c r="B607">
        <v>0</v>
      </c>
    </row>
    <row r="608" spans="1:2">
      <c r="A608" t="s">
        <v>559</v>
      </c>
      <c r="B608">
        <v>0</v>
      </c>
    </row>
    <row r="609" spans="1:2">
      <c r="A609" t="s">
        <v>683</v>
      </c>
      <c r="B609">
        <v>0</v>
      </c>
    </row>
    <row r="610" spans="1:2">
      <c r="A610" t="s">
        <v>560</v>
      </c>
      <c r="B610">
        <v>0</v>
      </c>
    </row>
    <row r="611" spans="1:2">
      <c r="A611" t="s">
        <v>1090</v>
      </c>
      <c r="B611">
        <v>7.8125E-3</v>
      </c>
    </row>
    <row r="612" spans="1:2">
      <c r="A612" t="s">
        <v>561</v>
      </c>
      <c r="B612">
        <v>0</v>
      </c>
    </row>
    <row r="613" spans="1:2">
      <c r="A613" t="s">
        <v>553</v>
      </c>
      <c r="B613">
        <v>7.8125E-3</v>
      </c>
    </row>
    <row r="614" spans="1:2">
      <c r="A614" t="s">
        <v>562</v>
      </c>
      <c r="B614">
        <v>0</v>
      </c>
    </row>
    <row r="615" spans="1:2">
      <c r="A615" t="s">
        <v>554</v>
      </c>
      <c r="B615">
        <v>0</v>
      </c>
    </row>
    <row r="616" spans="1:2">
      <c r="A616" t="s">
        <v>555</v>
      </c>
      <c r="B616">
        <v>0.21875</v>
      </c>
    </row>
    <row r="617" spans="1:2">
      <c r="A617" t="s">
        <v>556</v>
      </c>
      <c r="B617">
        <v>2.34375E-2</v>
      </c>
    </row>
    <row r="618" spans="1:2">
      <c r="A618" t="s">
        <v>397</v>
      </c>
      <c r="B618">
        <v>0.1328125</v>
      </c>
    </row>
    <row r="619" spans="1:2">
      <c r="A619" t="s">
        <v>557</v>
      </c>
      <c r="B619">
        <v>0</v>
      </c>
    </row>
    <row r="620" spans="1:2">
      <c r="A620" t="s">
        <v>548</v>
      </c>
      <c r="B620">
        <v>7.8125E-3</v>
      </c>
    </row>
    <row r="621" spans="1:2">
      <c r="A621" t="s">
        <v>558</v>
      </c>
      <c r="B621">
        <v>0</v>
      </c>
    </row>
    <row r="622" spans="1:2">
      <c r="A622" t="s">
        <v>1089</v>
      </c>
      <c r="B622">
        <v>7.8125E-3</v>
      </c>
    </row>
    <row r="623" spans="1:2">
      <c r="A623" t="s">
        <v>559</v>
      </c>
      <c r="B623">
        <v>0</v>
      </c>
    </row>
    <row r="624" spans="1:2">
      <c r="A624" t="s">
        <v>683</v>
      </c>
      <c r="B624">
        <v>0</v>
      </c>
    </row>
    <row r="625" spans="1:2">
      <c r="A625" t="s">
        <v>560</v>
      </c>
      <c r="B625">
        <v>0</v>
      </c>
    </row>
    <row r="626" spans="1:2">
      <c r="A626" t="s">
        <v>1090</v>
      </c>
      <c r="B626">
        <v>0</v>
      </c>
    </row>
    <row r="627" spans="1:2">
      <c r="A627" t="s">
        <v>561</v>
      </c>
      <c r="B627">
        <v>0</v>
      </c>
    </row>
    <row r="628" spans="1:2">
      <c r="A628" t="s">
        <v>553</v>
      </c>
      <c r="B628">
        <v>7.8125E-3</v>
      </c>
    </row>
    <row r="629" spans="1:2">
      <c r="A629" t="s">
        <v>562</v>
      </c>
      <c r="B629">
        <v>0</v>
      </c>
    </row>
    <row r="630" spans="1:2">
      <c r="A630" t="s">
        <v>554</v>
      </c>
      <c r="B630">
        <v>7.8125E-3</v>
      </c>
    </row>
    <row r="631" spans="1:2">
      <c r="A631" t="s">
        <v>555</v>
      </c>
      <c r="B631">
        <v>0.1953125</v>
      </c>
    </row>
    <row r="632" spans="1:2">
      <c r="A632" t="s">
        <v>556</v>
      </c>
      <c r="B632">
        <v>2.34375E-2</v>
      </c>
    </row>
    <row r="633" spans="1:2">
      <c r="A633" t="s">
        <v>397</v>
      </c>
      <c r="B633">
        <v>0.1328125</v>
      </c>
    </row>
    <row r="634" spans="1:2">
      <c r="A634" t="s">
        <v>557</v>
      </c>
      <c r="B634">
        <v>0</v>
      </c>
    </row>
    <row r="635" spans="1:2">
      <c r="A635" t="s">
        <v>548</v>
      </c>
      <c r="B635">
        <v>7.8125E-3</v>
      </c>
    </row>
    <row r="636" spans="1:2">
      <c r="A636" t="s">
        <v>558</v>
      </c>
      <c r="B636">
        <v>0</v>
      </c>
    </row>
    <row r="637" spans="1:2">
      <c r="A637" t="s">
        <v>1089</v>
      </c>
      <c r="B637">
        <v>0</v>
      </c>
    </row>
    <row r="638" spans="1:2">
      <c r="A638" t="s">
        <v>559</v>
      </c>
      <c r="B638">
        <v>0</v>
      </c>
    </row>
    <row r="639" spans="1:2">
      <c r="A639" t="s">
        <v>683</v>
      </c>
      <c r="B639">
        <v>7.8125E-3</v>
      </c>
    </row>
    <row r="640" spans="1:2">
      <c r="A640" t="s">
        <v>560</v>
      </c>
      <c r="B640">
        <v>0</v>
      </c>
    </row>
    <row r="641" spans="1:2">
      <c r="A641" t="s">
        <v>1090</v>
      </c>
      <c r="B641">
        <v>0</v>
      </c>
    </row>
    <row r="642" spans="1:2">
      <c r="A642" t="s">
        <v>561</v>
      </c>
      <c r="B642">
        <v>0</v>
      </c>
    </row>
    <row r="643" spans="1:2">
      <c r="A643" t="s">
        <v>553</v>
      </c>
      <c r="B643">
        <v>0</v>
      </c>
    </row>
    <row r="644" spans="1:2">
      <c r="A644" t="s">
        <v>562</v>
      </c>
      <c r="B644">
        <v>0</v>
      </c>
    </row>
    <row r="645" spans="1:2">
      <c r="A645" t="s">
        <v>554</v>
      </c>
      <c r="B645">
        <v>0</v>
      </c>
    </row>
    <row r="646" spans="1:2">
      <c r="A646" t="s">
        <v>555</v>
      </c>
      <c r="B646">
        <v>0.1953125</v>
      </c>
    </row>
    <row r="647" spans="1:2">
      <c r="A647" t="s">
        <v>556</v>
      </c>
      <c r="B647">
        <v>3.125E-2</v>
      </c>
    </row>
    <row r="648" spans="1:2">
      <c r="A648" t="s">
        <v>557</v>
      </c>
      <c r="B648">
        <v>0</v>
      </c>
    </row>
    <row r="649" spans="1:2">
      <c r="A649" t="s">
        <v>397</v>
      </c>
      <c r="B649">
        <v>0.140625</v>
      </c>
    </row>
    <row r="650" spans="1:2">
      <c r="A650" t="s">
        <v>548</v>
      </c>
      <c r="B650">
        <v>0.140625</v>
      </c>
    </row>
    <row r="651" spans="1:2">
      <c r="A651" t="s">
        <v>397</v>
      </c>
      <c r="B651">
        <v>0.140625</v>
      </c>
    </row>
    <row r="652" spans="1:2">
      <c r="A652" t="s">
        <v>557</v>
      </c>
      <c r="B652">
        <v>0</v>
      </c>
    </row>
    <row r="653" spans="1:2">
      <c r="A653" t="s">
        <v>548</v>
      </c>
      <c r="B653">
        <v>0</v>
      </c>
    </row>
    <row r="654" spans="1:2">
      <c r="A654" t="s">
        <v>558</v>
      </c>
      <c r="B654">
        <v>0</v>
      </c>
    </row>
    <row r="655" spans="1:2">
      <c r="A655" t="s">
        <v>1089</v>
      </c>
      <c r="B655">
        <v>0</v>
      </c>
    </row>
    <row r="656" spans="1:2">
      <c r="A656" t="s">
        <v>559</v>
      </c>
      <c r="B656">
        <v>0</v>
      </c>
    </row>
    <row r="657" spans="1:2">
      <c r="A657" t="s">
        <v>683</v>
      </c>
      <c r="B657">
        <v>0</v>
      </c>
    </row>
    <row r="658" spans="1:2">
      <c r="A658" t="s">
        <v>560</v>
      </c>
      <c r="B658">
        <v>0</v>
      </c>
    </row>
    <row r="659" spans="1:2">
      <c r="A659" t="s">
        <v>1090</v>
      </c>
      <c r="B659">
        <v>7.8125E-3</v>
      </c>
    </row>
    <row r="660" spans="1:2">
      <c r="A660" t="s">
        <v>561</v>
      </c>
      <c r="B660">
        <v>0</v>
      </c>
    </row>
    <row r="661" spans="1:2">
      <c r="A661" t="s">
        <v>553</v>
      </c>
      <c r="B661">
        <v>7.8125E-3</v>
      </c>
    </row>
    <row r="662" spans="1:2">
      <c r="A662" t="s">
        <v>562</v>
      </c>
      <c r="B662">
        <v>0</v>
      </c>
    </row>
    <row r="663" spans="1:2">
      <c r="A663" t="s">
        <v>554</v>
      </c>
      <c r="B663">
        <v>0</v>
      </c>
    </row>
    <row r="664" spans="1:2">
      <c r="A664" t="s">
        <v>555</v>
      </c>
      <c r="B664">
        <v>0.1953125</v>
      </c>
    </row>
    <row r="665" spans="1:2">
      <c r="A665" t="s">
        <v>556</v>
      </c>
      <c r="B665">
        <v>2.34375E-2</v>
      </c>
    </row>
    <row r="666" spans="1:2">
      <c r="A666" t="s">
        <v>557</v>
      </c>
      <c r="B666">
        <v>0</v>
      </c>
    </row>
    <row r="667" spans="1:2">
      <c r="A667" t="s">
        <v>397</v>
      </c>
      <c r="B667">
        <v>0.125</v>
      </c>
    </row>
    <row r="668" spans="1:2">
      <c r="A668" t="s">
        <v>548</v>
      </c>
      <c r="B668">
        <v>0.1328125</v>
      </c>
    </row>
    <row r="669" spans="1:2">
      <c r="A669" t="s">
        <v>397</v>
      </c>
      <c r="B669">
        <v>0.1484375</v>
      </c>
    </row>
    <row r="670" spans="1:2">
      <c r="A670" t="s">
        <v>557</v>
      </c>
      <c r="B670">
        <v>0</v>
      </c>
    </row>
    <row r="671" spans="1:2">
      <c r="A671" t="s">
        <v>1146</v>
      </c>
      <c r="B671">
        <v>7.8125E-3</v>
      </c>
    </row>
    <row r="672" spans="1:2">
      <c r="A672" t="s">
        <v>558</v>
      </c>
      <c r="B672">
        <v>0</v>
      </c>
    </row>
    <row r="673" spans="1:2">
      <c r="A673" t="s">
        <v>1089</v>
      </c>
      <c r="B673">
        <v>0</v>
      </c>
    </row>
    <row r="674" spans="1:2">
      <c r="A674" t="s">
        <v>559</v>
      </c>
      <c r="B674">
        <v>0</v>
      </c>
    </row>
    <row r="675" spans="1:2">
      <c r="A675" t="s">
        <v>683</v>
      </c>
      <c r="B675">
        <v>7.8125E-3</v>
      </c>
    </row>
    <row r="676" spans="1:2">
      <c r="A676" t="s">
        <v>560</v>
      </c>
      <c r="B676">
        <v>0</v>
      </c>
    </row>
    <row r="677" spans="1:2">
      <c r="A677" t="s">
        <v>1090</v>
      </c>
      <c r="B677">
        <v>0</v>
      </c>
    </row>
    <row r="678" spans="1:2">
      <c r="A678" t="s">
        <v>561</v>
      </c>
      <c r="B678">
        <v>0</v>
      </c>
    </row>
    <row r="679" spans="1:2">
      <c r="A679" t="s">
        <v>553</v>
      </c>
      <c r="B679">
        <v>0</v>
      </c>
    </row>
    <row r="680" spans="1:2">
      <c r="A680" t="s">
        <v>562</v>
      </c>
      <c r="B680">
        <v>0</v>
      </c>
    </row>
    <row r="681" spans="1:2">
      <c r="A681" t="s">
        <v>554</v>
      </c>
      <c r="B681">
        <v>0</v>
      </c>
    </row>
    <row r="682" spans="1:2">
      <c r="A682" t="s">
        <v>555</v>
      </c>
      <c r="B682">
        <v>0.2109375</v>
      </c>
    </row>
    <row r="683" spans="1:2">
      <c r="A683" t="s">
        <v>556</v>
      </c>
      <c r="B683">
        <v>2.34375E-2</v>
      </c>
    </row>
    <row r="684" spans="1:2">
      <c r="A684" t="s">
        <v>558</v>
      </c>
      <c r="B684">
        <v>0</v>
      </c>
    </row>
    <row r="685" spans="1:2">
      <c r="A685" t="s">
        <v>397</v>
      </c>
      <c r="B685">
        <v>0.1328125</v>
      </c>
    </row>
    <row r="686" spans="1:2">
      <c r="A686" t="s">
        <v>1089</v>
      </c>
      <c r="B686">
        <v>0.140625</v>
      </c>
    </row>
    <row r="687" spans="1:2">
      <c r="A687" t="s">
        <v>559</v>
      </c>
      <c r="B687">
        <v>0</v>
      </c>
    </row>
    <row r="688" spans="1:2">
      <c r="A688" t="s">
        <v>397</v>
      </c>
      <c r="B688">
        <v>0.1328125</v>
      </c>
    </row>
    <row r="689" spans="1:2">
      <c r="A689" t="s">
        <v>683</v>
      </c>
      <c r="B689">
        <v>0.1328125</v>
      </c>
    </row>
    <row r="690" spans="1:2">
      <c r="A690" t="s">
        <v>560</v>
      </c>
      <c r="B690">
        <v>0</v>
      </c>
    </row>
    <row r="691" spans="1:2">
      <c r="A691" t="s">
        <v>397</v>
      </c>
      <c r="B691">
        <v>0.1171875</v>
      </c>
    </row>
    <row r="692" spans="1:2">
      <c r="A692" t="s">
        <v>1090</v>
      </c>
      <c r="B692">
        <v>0.1171875</v>
      </c>
    </row>
    <row r="693" spans="1:2">
      <c r="A693" t="s">
        <v>558</v>
      </c>
      <c r="B693">
        <v>0</v>
      </c>
    </row>
    <row r="694" spans="1:2">
      <c r="A694" t="s">
        <v>397</v>
      </c>
      <c r="B694">
        <v>0.1328125</v>
      </c>
    </row>
    <row r="695" spans="1:2">
      <c r="A695" t="s">
        <v>1089</v>
      </c>
      <c r="B695">
        <v>0.1328125</v>
      </c>
    </row>
    <row r="696" spans="1:2">
      <c r="A696" t="s">
        <v>557</v>
      </c>
      <c r="B696">
        <v>0</v>
      </c>
    </row>
    <row r="697" spans="1:2">
      <c r="A697" t="s">
        <v>397</v>
      </c>
      <c r="B697">
        <v>0.1328125</v>
      </c>
    </row>
    <row r="698" spans="1:2">
      <c r="A698" t="s">
        <v>1146</v>
      </c>
      <c r="B698">
        <v>0.1328125</v>
      </c>
    </row>
    <row r="699" spans="1:2">
      <c r="A699" t="s">
        <v>558</v>
      </c>
      <c r="B699">
        <v>0</v>
      </c>
    </row>
    <row r="700" spans="1:2">
      <c r="A700" t="s">
        <v>397</v>
      </c>
      <c r="B700">
        <v>0.1015625</v>
      </c>
    </row>
    <row r="701" spans="1:2">
      <c r="A701" t="s">
        <v>1089</v>
      </c>
      <c r="B701">
        <v>0.109375</v>
      </c>
    </row>
    <row r="702" spans="1:2">
      <c r="A702" t="s">
        <v>558</v>
      </c>
      <c r="B702">
        <v>0</v>
      </c>
    </row>
    <row r="703" spans="1:2">
      <c r="A703" t="s">
        <v>397</v>
      </c>
      <c r="B703">
        <v>0.125</v>
      </c>
    </row>
    <row r="704" spans="1:2">
      <c r="A704" t="s">
        <v>1089</v>
      </c>
      <c r="B704">
        <v>0.1328125</v>
      </c>
    </row>
    <row r="705" spans="1:2">
      <c r="A705" t="s">
        <v>558</v>
      </c>
      <c r="B705">
        <v>0</v>
      </c>
    </row>
    <row r="706" spans="1:2">
      <c r="A706" t="s">
        <v>397</v>
      </c>
      <c r="B706">
        <v>0.140625</v>
      </c>
    </row>
    <row r="707" spans="1:2">
      <c r="A707" t="s">
        <v>1089</v>
      </c>
      <c r="B707">
        <v>0.140625</v>
      </c>
    </row>
    <row r="708" spans="1:2">
      <c r="A708" t="s">
        <v>559</v>
      </c>
      <c r="B708">
        <v>0</v>
      </c>
    </row>
    <row r="709" spans="1:2">
      <c r="A709" t="s">
        <v>397</v>
      </c>
      <c r="B709">
        <v>0.1171875</v>
      </c>
    </row>
    <row r="710" spans="1:2">
      <c r="A710" t="s">
        <v>683</v>
      </c>
      <c r="B710">
        <v>0.125</v>
      </c>
    </row>
    <row r="711" spans="1:2">
      <c r="A711" t="s">
        <v>560</v>
      </c>
      <c r="B711">
        <v>0</v>
      </c>
    </row>
    <row r="712" spans="1:2">
      <c r="A712" t="s">
        <v>397</v>
      </c>
      <c r="B712">
        <v>0.125</v>
      </c>
    </row>
    <row r="713" spans="1:2">
      <c r="A713" t="s">
        <v>1090</v>
      </c>
      <c r="B713">
        <v>0.125</v>
      </c>
    </row>
    <row r="714" spans="1:2">
      <c r="A714" t="s">
        <v>561</v>
      </c>
      <c r="B714">
        <v>0</v>
      </c>
    </row>
    <row r="715" spans="1:2">
      <c r="A715" t="s">
        <v>397</v>
      </c>
      <c r="B715">
        <v>0.140625</v>
      </c>
    </row>
    <row r="716" spans="1:2">
      <c r="A716" t="s">
        <v>553</v>
      </c>
      <c r="B716">
        <v>0.1484375</v>
      </c>
    </row>
    <row r="717" spans="1:2">
      <c r="A717" t="s">
        <v>560</v>
      </c>
      <c r="B717">
        <v>0</v>
      </c>
    </row>
    <row r="718" spans="1:2">
      <c r="A718" t="s">
        <v>397</v>
      </c>
      <c r="B718">
        <v>0.140625</v>
      </c>
    </row>
    <row r="719" spans="1:2">
      <c r="A719" t="s">
        <v>1090</v>
      </c>
      <c r="B719">
        <v>0.140625</v>
      </c>
    </row>
    <row r="720" spans="1:2">
      <c r="A720" t="s">
        <v>558</v>
      </c>
      <c r="B720">
        <v>0</v>
      </c>
    </row>
    <row r="721" spans="1:2">
      <c r="A721" t="s">
        <v>397</v>
      </c>
      <c r="B721">
        <v>0.140625</v>
      </c>
    </row>
    <row r="722" spans="1:2">
      <c r="A722" t="s">
        <v>1089</v>
      </c>
      <c r="B722">
        <v>0.140625</v>
      </c>
    </row>
    <row r="723" spans="1:2">
      <c r="A723" t="s">
        <v>560</v>
      </c>
      <c r="B723">
        <v>0</v>
      </c>
    </row>
    <row r="724" spans="1:2">
      <c r="A724" t="s">
        <v>397</v>
      </c>
      <c r="B724">
        <v>0.125</v>
      </c>
    </row>
    <row r="725" spans="1:2">
      <c r="A725" t="s">
        <v>1090</v>
      </c>
      <c r="B725">
        <v>0.1328125</v>
      </c>
    </row>
    <row r="726" spans="1:2">
      <c r="A726" t="s">
        <v>558</v>
      </c>
      <c r="B726">
        <v>0</v>
      </c>
    </row>
    <row r="727" spans="1:2">
      <c r="A727" t="s">
        <v>397</v>
      </c>
      <c r="B727">
        <v>0.1328125</v>
      </c>
    </row>
    <row r="728" spans="1:2">
      <c r="A728" t="s">
        <v>1089</v>
      </c>
      <c r="B728">
        <v>0.1484375</v>
      </c>
    </row>
    <row r="729" spans="1:2">
      <c r="A729" t="s">
        <v>560</v>
      </c>
      <c r="B729">
        <v>0</v>
      </c>
    </row>
    <row r="730" spans="1:2">
      <c r="A730" t="s">
        <v>397</v>
      </c>
      <c r="B730">
        <v>0.125</v>
      </c>
    </row>
    <row r="731" spans="1:2">
      <c r="A731" t="s">
        <v>1090</v>
      </c>
      <c r="B731">
        <v>0.1328125</v>
      </c>
    </row>
    <row r="732" spans="1:2">
      <c r="A732" t="s">
        <v>558</v>
      </c>
      <c r="B732">
        <v>0</v>
      </c>
    </row>
    <row r="733" spans="1:2">
      <c r="A733" t="s">
        <v>397</v>
      </c>
      <c r="B733">
        <v>0.1484375</v>
      </c>
    </row>
    <row r="734" spans="1:2">
      <c r="A734" t="s">
        <v>1089</v>
      </c>
      <c r="B734">
        <v>0.15625</v>
      </c>
    </row>
    <row r="735" spans="1:2">
      <c r="A735" t="s">
        <v>560</v>
      </c>
      <c r="B735">
        <v>0</v>
      </c>
    </row>
    <row r="736" spans="1:2">
      <c r="A736" t="s">
        <v>397</v>
      </c>
      <c r="B736">
        <v>0.125</v>
      </c>
    </row>
    <row r="737" spans="1:2">
      <c r="A737" t="s">
        <v>1090</v>
      </c>
      <c r="B737">
        <v>0.1328125</v>
      </c>
    </row>
    <row r="738" spans="1:2">
      <c r="A738" t="s">
        <v>560</v>
      </c>
      <c r="B738">
        <v>0</v>
      </c>
    </row>
    <row r="739" spans="1:2">
      <c r="A739" t="s">
        <v>397</v>
      </c>
      <c r="B739">
        <v>0.1328125</v>
      </c>
    </row>
    <row r="740" spans="1:2">
      <c r="A740" t="s">
        <v>1090</v>
      </c>
      <c r="B740">
        <v>0.1328125</v>
      </c>
    </row>
    <row r="741" spans="1:2">
      <c r="A741" t="s">
        <v>558</v>
      </c>
      <c r="B741">
        <v>0</v>
      </c>
    </row>
    <row r="742" spans="1:2">
      <c r="A742" t="s">
        <v>397</v>
      </c>
      <c r="B742">
        <v>0.140625</v>
      </c>
    </row>
    <row r="743" spans="1:2">
      <c r="A743" t="s">
        <v>1089</v>
      </c>
      <c r="B743">
        <v>0.140625</v>
      </c>
    </row>
    <row r="744" spans="1:2">
      <c r="A744" t="s">
        <v>559</v>
      </c>
      <c r="B744">
        <v>0</v>
      </c>
    </row>
    <row r="745" spans="1:2">
      <c r="A745" t="s">
        <v>397</v>
      </c>
      <c r="B745">
        <v>0.125</v>
      </c>
    </row>
    <row r="746" spans="1:2">
      <c r="A746" t="s">
        <v>683</v>
      </c>
      <c r="B746">
        <v>0.125</v>
      </c>
    </row>
    <row r="747" spans="1:2">
      <c r="A747" t="s">
        <v>558</v>
      </c>
      <c r="B747">
        <v>0</v>
      </c>
    </row>
    <row r="748" spans="1:2">
      <c r="A748" t="s">
        <v>397</v>
      </c>
      <c r="B748">
        <v>0.1328125</v>
      </c>
    </row>
    <row r="749" spans="1:2">
      <c r="A749" t="s">
        <v>1089</v>
      </c>
      <c r="B749">
        <v>0.140625</v>
      </c>
    </row>
    <row r="750" spans="1:2">
      <c r="A750" t="s">
        <v>559</v>
      </c>
      <c r="B750">
        <v>0</v>
      </c>
    </row>
    <row r="751" spans="1:2">
      <c r="A751" t="s">
        <v>397</v>
      </c>
      <c r="B751">
        <v>0.125</v>
      </c>
    </row>
    <row r="752" spans="1:2">
      <c r="A752" t="s">
        <v>683</v>
      </c>
      <c r="B752">
        <v>0.125</v>
      </c>
    </row>
    <row r="753" spans="1:2">
      <c r="A753" t="s">
        <v>558</v>
      </c>
      <c r="B753">
        <v>0</v>
      </c>
    </row>
    <row r="754" spans="1:2">
      <c r="A754" t="s">
        <v>397</v>
      </c>
      <c r="B754">
        <v>0.140625</v>
      </c>
    </row>
    <row r="755" spans="1:2">
      <c r="A755" t="s">
        <v>1089</v>
      </c>
      <c r="B755">
        <v>0.1484375</v>
      </c>
    </row>
    <row r="756" spans="1:2">
      <c r="A756" t="s">
        <v>559</v>
      </c>
      <c r="B756">
        <v>0</v>
      </c>
    </row>
    <row r="757" spans="1:2">
      <c r="A757" t="s">
        <v>397</v>
      </c>
      <c r="B757">
        <v>0.1328125</v>
      </c>
    </row>
    <row r="758" spans="1:2">
      <c r="A758" t="s">
        <v>683</v>
      </c>
      <c r="B758">
        <v>0.1328125</v>
      </c>
    </row>
    <row r="759" spans="1:2">
      <c r="A759" t="s">
        <v>560</v>
      </c>
      <c r="B759">
        <v>0</v>
      </c>
    </row>
    <row r="760" spans="1:2">
      <c r="A760" t="s">
        <v>397</v>
      </c>
      <c r="B760">
        <v>0.125</v>
      </c>
    </row>
    <row r="761" spans="1:2">
      <c r="A761" t="s">
        <v>1090</v>
      </c>
      <c r="B761">
        <v>0.1328125</v>
      </c>
    </row>
    <row r="762" spans="1:2">
      <c r="A762" t="s">
        <v>561</v>
      </c>
      <c r="B762">
        <v>0</v>
      </c>
    </row>
    <row r="763" spans="1:2">
      <c r="A763" t="s">
        <v>397</v>
      </c>
      <c r="B763">
        <v>0.1328125</v>
      </c>
    </row>
    <row r="764" spans="1:2">
      <c r="A764" t="s">
        <v>553</v>
      </c>
      <c r="B764">
        <v>0.1328125</v>
      </c>
    </row>
    <row r="765" spans="1:2">
      <c r="A765" t="s">
        <v>560</v>
      </c>
      <c r="B765">
        <v>0</v>
      </c>
    </row>
    <row r="766" spans="1:2">
      <c r="A766" t="s">
        <v>397</v>
      </c>
      <c r="B766">
        <v>0.125</v>
      </c>
    </row>
    <row r="767" spans="1:2">
      <c r="A767" t="s">
        <v>1090</v>
      </c>
      <c r="B767">
        <v>0.1328125</v>
      </c>
    </row>
    <row r="768" spans="1:2">
      <c r="A768" t="s">
        <v>561</v>
      </c>
      <c r="B768">
        <v>0</v>
      </c>
    </row>
    <row r="769" spans="1:2">
      <c r="A769" t="s">
        <v>397</v>
      </c>
      <c r="B769">
        <v>0.1328125</v>
      </c>
    </row>
    <row r="770" spans="1:2">
      <c r="A770" t="s">
        <v>553</v>
      </c>
      <c r="B770">
        <v>0.140625</v>
      </c>
    </row>
    <row r="771" spans="1:2">
      <c r="A771" t="s">
        <v>561</v>
      </c>
      <c r="B771">
        <v>0</v>
      </c>
    </row>
    <row r="772" spans="1:2">
      <c r="A772" t="s">
        <v>397</v>
      </c>
      <c r="B772">
        <v>0.125</v>
      </c>
    </row>
    <row r="773" spans="1:2">
      <c r="A773" t="s">
        <v>553</v>
      </c>
      <c r="B773">
        <v>0.1328125</v>
      </c>
    </row>
    <row r="774" spans="1:2">
      <c r="A774" t="s">
        <v>560</v>
      </c>
      <c r="B774">
        <v>0</v>
      </c>
    </row>
    <row r="775" spans="1:2">
      <c r="A775" t="s">
        <v>397</v>
      </c>
      <c r="B775">
        <v>0.1171875</v>
      </c>
    </row>
    <row r="776" spans="1:2">
      <c r="A776" t="s">
        <v>1090</v>
      </c>
      <c r="B776">
        <v>0.125</v>
      </c>
    </row>
    <row r="777" spans="1:2">
      <c r="A777" t="s">
        <v>561</v>
      </c>
      <c r="B777">
        <v>0</v>
      </c>
    </row>
    <row r="778" spans="1:2">
      <c r="A778" t="s">
        <v>397</v>
      </c>
      <c r="B778">
        <v>0.1328125</v>
      </c>
    </row>
    <row r="779" spans="1:2">
      <c r="A779" t="s">
        <v>553</v>
      </c>
      <c r="B779">
        <v>0.1328125</v>
      </c>
    </row>
    <row r="780" spans="1:2">
      <c r="A780" t="s">
        <v>557</v>
      </c>
      <c r="B780">
        <v>0</v>
      </c>
    </row>
    <row r="781" spans="1:2">
      <c r="A781" t="s">
        <v>397</v>
      </c>
      <c r="B781">
        <v>0.140625</v>
      </c>
    </row>
    <row r="782" spans="1:2">
      <c r="A782" t="s">
        <v>1146</v>
      </c>
      <c r="B782">
        <v>0.1484375</v>
      </c>
    </row>
    <row r="783" spans="1:2">
      <c r="A783" t="s">
        <v>561</v>
      </c>
      <c r="B783">
        <v>0</v>
      </c>
    </row>
    <row r="784" spans="1:2">
      <c r="A784" t="s">
        <v>397</v>
      </c>
      <c r="B784">
        <v>0.125</v>
      </c>
    </row>
    <row r="785" spans="1:2">
      <c r="A785" t="s">
        <v>553</v>
      </c>
      <c r="B785">
        <v>0.140625</v>
      </c>
    </row>
    <row r="786" spans="1:2">
      <c r="A786" t="s">
        <v>561</v>
      </c>
      <c r="B786">
        <v>0</v>
      </c>
    </row>
    <row r="787" spans="1:2">
      <c r="A787" t="s">
        <v>397</v>
      </c>
      <c r="B787">
        <v>0.1328125</v>
      </c>
    </row>
    <row r="788" spans="1:2">
      <c r="A788" t="s">
        <v>553</v>
      </c>
      <c r="B788">
        <v>0.1328125</v>
      </c>
    </row>
    <row r="789" spans="1:2">
      <c r="A789" t="s">
        <v>558</v>
      </c>
      <c r="B789">
        <v>0</v>
      </c>
    </row>
    <row r="790" spans="1:2">
      <c r="A790" t="s">
        <v>397</v>
      </c>
      <c r="B790">
        <v>0.171875</v>
      </c>
    </row>
    <row r="791" spans="1:2">
      <c r="A791" t="s">
        <v>1089</v>
      </c>
      <c r="B791">
        <v>0.171875</v>
      </c>
    </row>
    <row r="792" spans="1:2">
      <c r="A792" t="s">
        <v>561</v>
      </c>
      <c r="B792">
        <v>0</v>
      </c>
    </row>
    <row r="793" spans="1:2">
      <c r="A793" t="s">
        <v>397</v>
      </c>
      <c r="B793">
        <v>0.1328125</v>
      </c>
    </row>
    <row r="794" spans="1:2">
      <c r="A794" t="s">
        <v>553</v>
      </c>
      <c r="B794">
        <v>0.1328125</v>
      </c>
    </row>
    <row r="795" spans="1:2">
      <c r="A795" t="s">
        <v>560</v>
      </c>
      <c r="B795">
        <v>0</v>
      </c>
    </row>
    <row r="796" spans="1:2">
      <c r="A796" t="s">
        <v>397</v>
      </c>
      <c r="B796">
        <v>0.1328125</v>
      </c>
    </row>
    <row r="797" spans="1:2">
      <c r="A797" t="s">
        <v>1090</v>
      </c>
      <c r="B797">
        <v>0.1328125</v>
      </c>
    </row>
    <row r="798" spans="1:2">
      <c r="A798" t="s">
        <v>558</v>
      </c>
      <c r="B798">
        <v>0</v>
      </c>
    </row>
    <row r="799" spans="1:2">
      <c r="A799" t="s">
        <v>397</v>
      </c>
      <c r="B799">
        <v>0.140625</v>
      </c>
    </row>
    <row r="800" spans="1:2">
      <c r="A800" t="s">
        <v>1089</v>
      </c>
      <c r="B800">
        <v>0.1484375</v>
      </c>
    </row>
    <row r="801" spans="1:2">
      <c r="A801" t="s">
        <v>557</v>
      </c>
      <c r="B801">
        <v>0</v>
      </c>
    </row>
    <row r="802" spans="1:2">
      <c r="A802" t="s">
        <v>397</v>
      </c>
      <c r="B802">
        <v>0.1171875</v>
      </c>
    </row>
    <row r="803" spans="1:2">
      <c r="A803" t="s">
        <v>1146</v>
      </c>
      <c r="B803">
        <v>0.1328125</v>
      </c>
    </row>
    <row r="804" spans="1:2">
      <c r="A804" t="s">
        <v>558</v>
      </c>
      <c r="B804">
        <v>0</v>
      </c>
    </row>
    <row r="805" spans="1:2">
      <c r="A805" t="s">
        <v>397</v>
      </c>
      <c r="B805">
        <v>0.109375</v>
      </c>
    </row>
    <row r="806" spans="1:2">
      <c r="A806" t="s">
        <v>1089</v>
      </c>
      <c r="B806">
        <v>0.109375</v>
      </c>
    </row>
    <row r="807" spans="1:2">
      <c r="A807" t="s">
        <v>559</v>
      </c>
      <c r="B807">
        <v>0</v>
      </c>
    </row>
    <row r="808" spans="1:2">
      <c r="A808" t="s">
        <v>397</v>
      </c>
      <c r="B808">
        <v>0.1015625</v>
      </c>
    </row>
    <row r="809" spans="1:2">
      <c r="A809" t="s">
        <v>683</v>
      </c>
      <c r="B809">
        <v>0.109375</v>
      </c>
    </row>
    <row r="810" spans="1:2">
      <c r="A810" t="s">
        <v>560</v>
      </c>
      <c r="B810">
        <v>0</v>
      </c>
    </row>
    <row r="811" spans="1:2">
      <c r="A811" t="s">
        <v>397</v>
      </c>
      <c r="B811">
        <v>0.1015625</v>
      </c>
    </row>
    <row r="812" spans="1:2">
      <c r="A812" t="s">
        <v>563</v>
      </c>
      <c r="B812">
        <v>0.1015625</v>
      </c>
    </row>
    <row r="813" spans="1:2">
      <c r="A813" t="s">
        <v>561</v>
      </c>
      <c r="B813">
        <v>0</v>
      </c>
    </row>
    <row r="814" spans="1:2">
      <c r="A814" t="s">
        <v>397</v>
      </c>
      <c r="B814">
        <v>0.1015625</v>
      </c>
    </row>
    <row r="815" spans="1:2">
      <c r="A815" t="s">
        <v>553</v>
      </c>
      <c r="B815">
        <v>0.109375</v>
      </c>
    </row>
    <row r="816" spans="1:2">
      <c r="A816" t="s">
        <v>560</v>
      </c>
      <c r="B816">
        <v>0</v>
      </c>
    </row>
    <row r="817" spans="1:2">
      <c r="A817" t="s">
        <v>397</v>
      </c>
      <c r="B817">
        <v>0.109375</v>
      </c>
    </row>
    <row r="818" spans="1:2">
      <c r="A818" t="s">
        <v>563</v>
      </c>
      <c r="B818">
        <v>0.109375</v>
      </c>
    </row>
    <row r="819" spans="1:2">
      <c r="A819" t="s">
        <v>557</v>
      </c>
      <c r="B819">
        <v>0</v>
      </c>
    </row>
    <row r="820" spans="1:2">
      <c r="A820" t="s">
        <v>397</v>
      </c>
      <c r="B820">
        <v>0.109375</v>
      </c>
    </row>
    <row r="821" spans="1:2">
      <c r="A821" t="s">
        <v>1146</v>
      </c>
      <c r="B821">
        <v>0.1171875</v>
      </c>
    </row>
    <row r="822" spans="1:2">
      <c r="A822" t="s">
        <v>558</v>
      </c>
      <c r="B822">
        <v>0</v>
      </c>
    </row>
    <row r="823" spans="1:2">
      <c r="A823" t="s">
        <v>397</v>
      </c>
      <c r="B823">
        <v>0.1328125</v>
      </c>
    </row>
    <row r="824" spans="1:2">
      <c r="A824" t="s">
        <v>1089</v>
      </c>
      <c r="B824">
        <v>0.1328125</v>
      </c>
    </row>
    <row r="825" spans="1:2">
      <c r="A825" t="s">
        <v>557</v>
      </c>
      <c r="B825">
        <v>0</v>
      </c>
    </row>
    <row r="826" spans="1:2">
      <c r="A826" t="s">
        <v>397</v>
      </c>
      <c r="B826">
        <v>0.140625</v>
      </c>
    </row>
    <row r="827" spans="1:2">
      <c r="A827" t="s">
        <v>1146</v>
      </c>
      <c r="B827">
        <v>0.1484375</v>
      </c>
    </row>
    <row r="828" spans="1:2">
      <c r="A828" t="s">
        <v>558</v>
      </c>
      <c r="B828">
        <v>0</v>
      </c>
    </row>
    <row r="829" spans="1:2">
      <c r="A829" t="s">
        <v>397</v>
      </c>
      <c r="B829">
        <v>0.1328125</v>
      </c>
    </row>
    <row r="830" spans="1:2">
      <c r="A830" t="s">
        <v>1089</v>
      </c>
      <c r="B830">
        <v>0.1328125</v>
      </c>
    </row>
    <row r="831" spans="1:2">
      <c r="A831" t="s">
        <v>561</v>
      </c>
      <c r="B831">
        <v>0</v>
      </c>
    </row>
    <row r="832" spans="1:2">
      <c r="A832" t="s">
        <v>397</v>
      </c>
      <c r="B832">
        <v>0.125</v>
      </c>
    </row>
    <row r="833" spans="1:2">
      <c r="A833" t="s">
        <v>553</v>
      </c>
      <c r="B833">
        <v>0.140625</v>
      </c>
    </row>
    <row r="834" spans="1:2">
      <c r="A834" t="s">
        <v>560</v>
      </c>
      <c r="B834">
        <v>0</v>
      </c>
    </row>
    <row r="835" spans="1:2">
      <c r="A835" t="s">
        <v>397</v>
      </c>
      <c r="B835">
        <v>0.125</v>
      </c>
    </row>
    <row r="836" spans="1:2">
      <c r="A836" t="s">
        <v>563</v>
      </c>
      <c r="B836">
        <v>0.1328125</v>
      </c>
    </row>
    <row r="837" spans="1:2">
      <c r="A837" t="s">
        <v>397</v>
      </c>
      <c r="B837">
        <v>0.1328125</v>
      </c>
    </row>
    <row r="838" spans="1:2">
      <c r="A838" t="s">
        <v>557</v>
      </c>
      <c r="B838">
        <v>0</v>
      </c>
    </row>
    <row r="839" spans="1:2">
      <c r="A839" t="s">
        <v>1146</v>
      </c>
      <c r="B839">
        <v>0</v>
      </c>
    </row>
    <row r="840" spans="1:2">
      <c r="A840" t="s">
        <v>558</v>
      </c>
      <c r="B840">
        <v>0</v>
      </c>
    </row>
    <row r="841" spans="1:2">
      <c r="A841" t="s">
        <v>1089</v>
      </c>
      <c r="B841">
        <v>0</v>
      </c>
    </row>
    <row r="842" spans="1:2">
      <c r="A842" t="s">
        <v>559</v>
      </c>
      <c r="B842">
        <v>0</v>
      </c>
    </row>
    <row r="843" spans="1:2">
      <c r="A843" t="s">
        <v>683</v>
      </c>
      <c r="B843">
        <v>0</v>
      </c>
    </row>
    <row r="844" spans="1:2">
      <c r="A844" t="s">
        <v>560</v>
      </c>
      <c r="B844">
        <v>0</v>
      </c>
    </row>
    <row r="845" spans="1:2">
      <c r="A845" t="s">
        <v>563</v>
      </c>
      <c r="B845">
        <v>0</v>
      </c>
    </row>
    <row r="846" spans="1:2">
      <c r="A846" t="s">
        <v>561</v>
      </c>
      <c r="B846">
        <v>0</v>
      </c>
    </row>
    <row r="847" spans="1:2">
      <c r="A847" t="s">
        <v>553</v>
      </c>
      <c r="B847">
        <v>7.8125E-3</v>
      </c>
    </row>
    <row r="848" spans="1:2">
      <c r="A848" t="s">
        <v>562</v>
      </c>
      <c r="B848">
        <v>0</v>
      </c>
    </row>
    <row r="849" spans="1:2">
      <c r="A849" t="s">
        <v>554</v>
      </c>
      <c r="B849">
        <v>0</v>
      </c>
    </row>
    <row r="850" spans="1:2">
      <c r="A850" t="s">
        <v>555</v>
      </c>
      <c r="B850">
        <v>0.1875</v>
      </c>
    </row>
    <row r="851" spans="1:2">
      <c r="A851" t="s">
        <v>556</v>
      </c>
      <c r="B851">
        <v>1.5625E-2</v>
      </c>
    </row>
    <row r="852" spans="1:2">
      <c r="A852" t="s">
        <v>558</v>
      </c>
      <c r="B852">
        <v>0</v>
      </c>
    </row>
    <row r="853" spans="1:2">
      <c r="A853" t="s">
        <v>397</v>
      </c>
      <c r="B853">
        <v>0.1328125</v>
      </c>
    </row>
    <row r="854" spans="1:2">
      <c r="A854" t="s">
        <v>1089</v>
      </c>
      <c r="B854">
        <v>0.1328125</v>
      </c>
    </row>
    <row r="855" spans="1:2">
      <c r="A855" t="s">
        <v>559</v>
      </c>
      <c r="B855">
        <v>0</v>
      </c>
    </row>
    <row r="856" spans="1:2">
      <c r="A856" t="s">
        <v>397</v>
      </c>
      <c r="B856">
        <v>0.125</v>
      </c>
    </row>
    <row r="857" spans="1:2">
      <c r="A857" t="s">
        <v>683</v>
      </c>
      <c r="B857">
        <v>0.125</v>
      </c>
    </row>
    <row r="858" spans="1:2">
      <c r="A858" t="s">
        <v>558</v>
      </c>
      <c r="B858">
        <v>0</v>
      </c>
    </row>
    <row r="859" spans="1:2">
      <c r="A859" t="s">
        <v>397</v>
      </c>
      <c r="B859">
        <v>0.1328125</v>
      </c>
    </row>
    <row r="860" spans="1:2">
      <c r="A860" t="s">
        <v>1089</v>
      </c>
      <c r="B860">
        <v>0.1328125</v>
      </c>
    </row>
    <row r="861" spans="1:2">
      <c r="A861" t="s">
        <v>559</v>
      </c>
      <c r="B861">
        <v>0</v>
      </c>
    </row>
    <row r="862" spans="1:2">
      <c r="A862" t="s">
        <v>397</v>
      </c>
      <c r="B862">
        <v>0.125</v>
      </c>
    </row>
    <row r="863" spans="1:2">
      <c r="A863" t="s">
        <v>683</v>
      </c>
      <c r="B863">
        <v>0.1328125</v>
      </c>
    </row>
    <row r="864" spans="1:2">
      <c r="A864" t="s">
        <v>560</v>
      </c>
      <c r="B864">
        <v>0</v>
      </c>
    </row>
    <row r="865" spans="1:2">
      <c r="A865" t="s">
        <v>397</v>
      </c>
      <c r="B865">
        <v>0.125</v>
      </c>
    </row>
    <row r="866" spans="1:2">
      <c r="A866" t="s">
        <v>563</v>
      </c>
      <c r="B866">
        <v>0.1328125</v>
      </c>
    </row>
    <row r="867" spans="1:2">
      <c r="A867" t="s">
        <v>558</v>
      </c>
      <c r="B867">
        <v>0</v>
      </c>
    </row>
    <row r="868" spans="1:2">
      <c r="A868" t="s">
        <v>397</v>
      </c>
      <c r="B868">
        <v>0.140625</v>
      </c>
    </row>
    <row r="869" spans="1:2">
      <c r="A869" t="s">
        <v>1089</v>
      </c>
      <c r="B869">
        <v>0.1484375</v>
      </c>
    </row>
    <row r="870" spans="1:2">
      <c r="A870" t="s">
        <v>557</v>
      </c>
      <c r="B870">
        <v>0</v>
      </c>
    </row>
    <row r="871" spans="1:2">
      <c r="A871" t="s">
        <v>397</v>
      </c>
      <c r="B871">
        <v>0.1640625</v>
      </c>
    </row>
    <row r="872" spans="1:2">
      <c r="A872" t="s">
        <v>1146</v>
      </c>
      <c r="B872">
        <v>0.1640625</v>
      </c>
    </row>
    <row r="873" spans="1:2">
      <c r="A873" t="s">
        <v>558</v>
      </c>
      <c r="B873">
        <v>0</v>
      </c>
    </row>
    <row r="874" spans="1:2">
      <c r="A874" t="s">
        <v>397</v>
      </c>
      <c r="B874">
        <v>0.1328125</v>
      </c>
    </row>
    <row r="875" spans="1:2">
      <c r="A875" t="s">
        <v>551</v>
      </c>
      <c r="B875">
        <v>0.140625</v>
      </c>
    </row>
    <row r="876" spans="1:2">
      <c r="A876" t="s">
        <v>557</v>
      </c>
      <c r="B876">
        <v>0</v>
      </c>
    </row>
    <row r="877" spans="1:2">
      <c r="A877" t="s">
        <v>397</v>
      </c>
      <c r="B877">
        <v>0.1328125</v>
      </c>
    </row>
    <row r="878" spans="1:2">
      <c r="A878" t="s">
        <v>1146</v>
      </c>
      <c r="B878">
        <v>0.140625</v>
      </c>
    </row>
    <row r="879" spans="1:2">
      <c r="A879" t="s">
        <v>558</v>
      </c>
      <c r="B879">
        <v>0</v>
      </c>
    </row>
    <row r="880" spans="1:2">
      <c r="A880" t="s">
        <v>397</v>
      </c>
      <c r="B880">
        <v>0.140625</v>
      </c>
    </row>
    <row r="881" spans="1:2">
      <c r="A881" t="s">
        <v>551</v>
      </c>
      <c r="B881">
        <v>0.140625</v>
      </c>
    </row>
    <row r="882" spans="1:2">
      <c r="A882" t="s">
        <v>559</v>
      </c>
      <c r="B882">
        <v>0</v>
      </c>
    </row>
    <row r="883" spans="1:2">
      <c r="A883" t="s">
        <v>397</v>
      </c>
      <c r="B883">
        <v>0.1171875</v>
      </c>
    </row>
    <row r="884" spans="1:2">
      <c r="A884" t="s">
        <v>552</v>
      </c>
      <c r="B884">
        <v>0.125</v>
      </c>
    </row>
    <row r="885" spans="1:2">
      <c r="A885" t="s">
        <v>560</v>
      </c>
      <c r="B885">
        <v>0</v>
      </c>
    </row>
    <row r="886" spans="1:2">
      <c r="A886" t="s">
        <v>397</v>
      </c>
      <c r="B886">
        <v>0.125</v>
      </c>
    </row>
    <row r="887" spans="1:2">
      <c r="A887" t="s">
        <v>563</v>
      </c>
      <c r="B887">
        <v>0.1328125</v>
      </c>
    </row>
    <row r="888" spans="1:2">
      <c r="A888" t="s">
        <v>561</v>
      </c>
      <c r="B888">
        <v>0</v>
      </c>
    </row>
    <row r="889" spans="1:2">
      <c r="A889" t="s">
        <v>397</v>
      </c>
      <c r="B889">
        <v>0.125</v>
      </c>
    </row>
    <row r="890" spans="1:2">
      <c r="A890" t="s">
        <v>553</v>
      </c>
      <c r="B890">
        <v>0.1328125</v>
      </c>
    </row>
    <row r="891" spans="1:2">
      <c r="A891" t="s">
        <v>561</v>
      </c>
      <c r="B891">
        <v>0</v>
      </c>
    </row>
    <row r="892" spans="1:2">
      <c r="A892" t="s">
        <v>397</v>
      </c>
      <c r="B892">
        <v>0.1328125</v>
      </c>
    </row>
    <row r="893" spans="1:2">
      <c r="A893" t="s">
        <v>553</v>
      </c>
      <c r="B893">
        <v>0.140625</v>
      </c>
    </row>
    <row r="894" spans="1:2">
      <c r="A894" t="s">
        <v>561</v>
      </c>
      <c r="B894">
        <v>0</v>
      </c>
    </row>
    <row r="895" spans="1:2">
      <c r="A895" t="s">
        <v>397</v>
      </c>
      <c r="B895">
        <v>0.125</v>
      </c>
    </row>
    <row r="896" spans="1:2">
      <c r="A896" t="s">
        <v>553</v>
      </c>
      <c r="B896">
        <v>0.1328125</v>
      </c>
    </row>
    <row r="897" spans="1:2">
      <c r="A897" t="s">
        <v>561</v>
      </c>
      <c r="B897">
        <v>0</v>
      </c>
    </row>
    <row r="898" spans="1:2">
      <c r="A898" t="s">
        <v>397</v>
      </c>
      <c r="B898">
        <v>0.1328125</v>
      </c>
    </row>
    <row r="899" spans="1:2">
      <c r="A899" t="s">
        <v>553</v>
      </c>
      <c r="B899">
        <v>0.1328125</v>
      </c>
    </row>
    <row r="900" spans="1:2">
      <c r="A900" t="s">
        <v>397</v>
      </c>
      <c r="B900">
        <v>0.1484375</v>
      </c>
    </row>
    <row r="901" spans="1:2">
      <c r="A901" t="s">
        <v>557</v>
      </c>
      <c r="B901">
        <v>0</v>
      </c>
    </row>
    <row r="902" spans="1:2">
      <c r="A902" t="s">
        <v>1146</v>
      </c>
      <c r="B902">
        <v>7.8125E-3</v>
      </c>
    </row>
    <row r="903" spans="1:2">
      <c r="A903" t="s">
        <v>558</v>
      </c>
      <c r="B903">
        <v>0</v>
      </c>
    </row>
    <row r="904" spans="1:2">
      <c r="A904" t="s">
        <v>551</v>
      </c>
      <c r="B904">
        <v>0</v>
      </c>
    </row>
    <row r="905" spans="1:2">
      <c r="A905" t="s">
        <v>559</v>
      </c>
      <c r="B905">
        <v>0</v>
      </c>
    </row>
    <row r="906" spans="1:2">
      <c r="A906" t="s">
        <v>552</v>
      </c>
      <c r="B906">
        <v>7.8125E-3</v>
      </c>
    </row>
    <row r="907" spans="1:2">
      <c r="A907" t="s">
        <v>560</v>
      </c>
      <c r="B907">
        <v>0</v>
      </c>
    </row>
    <row r="908" spans="1:2">
      <c r="A908" t="s">
        <v>563</v>
      </c>
      <c r="B908">
        <v>0</v>
      </c>
    </row>
    <row r="909" spans="1:2">
      <c r="A909" t="s">
        <v>561</v>
      </c>
      <c r="B909">
        <v>0</v>
      </c>
    </row>
    <row r="910" spans="1:2">
      <c r="A910" t="s">
        <v>553</v>
      </c>
      <c r="B910">
        <v>7.8125E-3</v>
      </c>
    </row>
    <row r="911" spans="1:2">
      <c r="A911" t="s">
        <v>562</v>
      </c>
      <c r="B911">
        <v>0</v>
      </c>
    </row>
    <row r="912" spans="1:2">
      <c r="A912" t="s">
        <v>554</v>
      </c>
      <c r="B912">
        <v>0</v>
      </c>
    </row>
    <row r="913" spans="1:2">
      <c r="A913" t="s">
        <v>555</v>
      </c>
      <c r="B913">
        <v>0.2109375</v>
      </c>
    </row>
    <row r="914" spans="1:2">
      <c r="A914" t="s">
        <v>556</v>
      </c>
      <c r="B914">
        <v>2.34375E-2</v>
      </c>
    </row>
    <row r="915" spans="1:2">
      <c r="A915" t="s">
        <v>397</v>
      </c>
      <c r="B915">
        <v>0.1328125</v>
      </c>
    </row>
    <row r="916" spans="1:2">
      <c r="A916" t="s">
        <v>557</v>
      </c>
      <c r="B916">
        <v>0</v>
      </c>
    </row>
    <row r="917" spans="1:2">
      <c r="A917" t="s">
        <v>1146</v>
      </c>
      <c r="B917">
        <v>7.8125E-3</v>
      </c>
    </row>
    <row r="918" spans="1:2">
      <c r="A918" t="s">
        <v>558</v>
      </c>
      <c r="B918">
        <v>0</v>
      </c>
    </row>
    <row r="919" spans="1:2">
      <c r="A919" t="s">
        <v>551</v>
      </c>
      <c r="B919">
        <v>0</v>
      </c>
    </row>
    <row r="920" spans="1:2">
      <c r="A920" t="s">
        <v>559</v>
      </c>
      <c r="B920">
        <v>0</v>
      </c>
    </row>
    <row r="921" spans="1:2">
      <c r="A921" t="s">
        <v>552</v>
      </c>
      <c r="B921">
        <v>7.8125E-3</v>
      </c>
    </row>
    <row r="922" spans="1:2">
      <c r="A922" t="s">
        <v>560</v>
      </c>
      <c r="B922">
        <v>0</v>
      </c>
    </row>
    <row r="923" spans="1:2">
      <c r="A923" t="s">
        <v>563</v>
      </c>
      <c r="B923">
        <v>0</v>
      </c>
    </row>
    <row r="924" spans="1:2">
      <c r="A924" t="s">
        <v>561</v>
      </c>
      <c r="B924">
        <v>0</v>
      </c>
    </row>
    <row r="925" spans="1:2">
      <c r="A925" t="s">
        <v>553</v>
      </c>
      <c r="B925">
        <v>0</v>
      </c>
    </row>
    <row r="926" spans="1:2">
      <c r="A926" t="s">
        <v>562</v>
      </c>
      <c r="B926">
        <v>0</v>
      </c>
    </row>
    <row r="927" spans="1:2">
      <c r="A927" t="s">
        <v>554</v>
      </c>
      <c r="B927">
        <v>0</v>
      </c>
    </row>
    <row r="928" spans="1:2">
      <c r="A928" t="s">
        <v>555</v>
      </c>
      <c r="B928">
        <v>0.1953125</v>
      </c>
    </row>
    <row r="929" spans="1:2">
      <c r="A929" t="s">
        <v>556</v>
      </c>
      <c r="B929">
        <v>1.5625E-2</v>
      </c>
    </row>
    <row r="930" spans="1:2">
      <c r="A930" t="s">
        <v>397</v>
      </c>
      <c r="B930">
        <v>0.1328125</v>
      </c>
    </row>
    <row r="931" spans="1:2">
      <c r="A931" t="s">
        <v>557</v>
      </c>
      <c r="B931">
        <v>0</v>
      </c>
    </row>
    <row r="932" spans="1:2">
      <c r="A932" t="s">
        <v>1146</v>
      </c>
      <c r="B932">
        <v>0</v>
      </c>
    </row>
    <row r="933" spans="1:2">
      <c r="A933" t="s">
        <v>558</v>
      </c>
      <c r="B933">
        <v>0</v>
      </c>
    </row>
    <row r="934" spans="1:2">
      <c r="A934" t="s">
        <v>551</v>
      </c>
      <c r="B934">
        <v>7.8125E-3</v>
      </c>
    </row>
    <row r="935" spans="1:2">
      <c r="A935" t="s">
        <v>559</v>
      </c>
      <c r="B935">
        <v>0</v>
      </c>
    </row>
    <row r="936" spans="1:2">
      <c r="A936" t="s">
        <v>552</v>
      </c>
      <c r="B936">
        <v>0</v>
      </c>
    </row>
    <row r="937" spans="1:2">
      <c r="A937" t="s">
        <v>560</v>
      </c>
      <c r="B937">
        <v>0</v>
      </c>
    </row>
    <row r="938" spans="1:2">
      <c r="A938" t="s">
        <v>563</v>
      </c>
      <c r="B938">
        <v>0</v>
      </c>
    </row>
    <row r="939" spans="1:2">
      <c r="A939" t="s">
        <v>561</v>
      </c>
      <c r="B939">
        <v>0</v>
      </c>
    </row>
    <row r="940" spans="1:2">
      <c r="A940" t="s">
        <v>553</v>
      </c>
      <c r="B940">
        <v>7.8125E-3</v>
      </c>
    </row>
    <row r="941" spans="1:2">
      <c r="A941" t="s">
        <v>562</v>
      </c>
      <c r="B941">
        <v>0</v>
      </c>
    </row>
    <row r="942" spans="1:2">
      <c r="A942" t="s">
        <v>554</v>
      </c>
      <c r="B942">
        <v>0</v>
      </c>
    </row>
    <row r="943" spans="1:2">
      <c r="A943" t="s">
        <v>555</v>
      </c>
      <c r="B943">
        <v>0.1953125</v>
      </c>
    </row>
    <row r="944" spans="1:2">
      <c r="A944" t="s">
        <v>556</v>
      </c>
      <c r="B944">
        <v>3.125E-2</v>
      </c>
    </row>
    <row r="945" spans="1:2">
      <c r="A945" t="s">
        <v>397</v>
      </c>
      <c r="B945">
        <v>0.1484375</v>
      </c>
    </row>
    <row r="946" spans="1:2">
      <c r="A946" t="s">
        <v>557</v>
      </c>
      <c r="B946">
        <v>0</v>
      </c>
    </row>
    <row r="947" spans="1:2">
      <c r="A947" t="s">
        <v>1146</v>
      </c>
      <c r="B947">
        <v>0</v>
      </c>
    </row>
    <row r="948" spans="1:2">
      <c r="A948" t="s">
        <v>558</v>
      </c>
      <c r="B948">
        <v>0</v>
      </c>
    </row>
    <row r="949" spans="1:2">
      <c r="A949" t="s">
        <v>551</v>
      </c>
      <c r="B949">
        <v>0</v>
      </c>
    </row>
    <row r="950" spans="1:2">
      <c r="A950" t="s">
        <v>559</v>
      </c>
      <c r="B950">
        <v>0</v>
      </c>
    </row>
    <row r="951" spans="1:2">
      <c r="A951" t="s">
        <v>552</v>
      </c>
      <c r="B951">
        <v>0</v>
      </c>
    </row>
    <row r="952" spans="1:2">
      <c r="A952" t="s">
        <v>560</v>
      </c>
      <c r="B952">
        <v>0</v>
      </c>
    </row>
    <row r="953" spans="1:2">
      <c r="A953" t="s">
        <v>563</v>
      </c>
      <c r="B953">
        <v>0</v>
      </c>
    </row>
    <row r="954" spans="1:2">
      <c r="A954" t="s">
        <v>561</v>
      </c>
      <c r="B954">
        <v>0</v>
      </c>
    </row>
    <row r="955" spans="1:2">
      <c r="A955" t="s">
        <v>553</v>
      </c>
      <c r="B955">
        <v>0</v>
      </c>
    </row>
    <row r="956" spans="1:2">
      <c r="A956" t="s">
        <v>562</v>
      </c>
      <c r="B956">
        <v>0</v>
      </c>
    </row>
    <row r="957" spans="1:2">
      <c r="A957" t="s">
        <v>554</v>
      </c>
      <c r="B957">
        <v>0</v>
      </c>
    </row>
    <row r="958" spans="1:2">
      <c r="A958" t="s">
        <v>555</v>
      </c>
      <c r="B958">
        <v>0.1953125</v>
      </c>
    </row>
    <row r="959" spans="1:2">
      <c r="A959" t="s">
        <v>556</v>
      </c>
      <c r="B959">
        <v>1.5625E-2</v>
      </c>
    </row>
    <row r="960" spans="1:2">
      <c r="A960" t="s">
        <v>397</v>
      </c>
      <c r="B960">
        <v>0.140625</v>
      </c>
    </row>
    <row r="961" spans="1:2">
      <c r="A961" t="s">
        <v>557</v>
      </c>
      <c r="B961">
        <v>0</v>
      </c>
    </row>
    <row r="962" spans="1:2">
      <c r="A962" t="s">
        <v>1146</v>
      </c>
      <c r="B962">
        <v>7.8125E-3</v>
      </c>
    </row>
    <row r="963" spans="1:2">
      <c r="A963" t="s">
        <v>558</v>
      </c>
      <c r="B963">
        <v>0</v>
      </c>
    </row>
    <row r="964" spans="1:2">
      <c r="A964" t="s">
        <v>551</v>
      </c>
      <c r="B964">
        <v>7.8125E-3</v>
      </c>
    </row>
    <row r="965" spans="1:2">
      <c r="A965" t="s">
        <v>559</v>
      </c>
      <c r="B965">
        <v>0</v>
      </c>
    </row>
    <row r="966" spans="1:2">
      <c r="A966" t="s">
        <v>552</v>
      </c>
      <c r="B966">
        <v>0</v>
      </c>
    </row>
    <row r="967" spans="1:2">
      <c r="A967" t="s">
        <v>560</v>
      </c>
      <c r="B967">
        <v>0</v>
      </c>
    </row>
    <row r="968" spans="1:2">
      <c r="A968" t="s">
        <v>563</v>
      </c>
      <c r="B968">
        <v>0</v>
      </c>
    </row>
    <row r="969" spans="1:2">
      <c r="A969" t="s">
        <v>561</v>
      </c>
      <c r="B969">
        <v>0</v>
      </c>
    </row>
    <row r="970" spans="1:2">
      <c r="A970" t="s">
        <v>553</v>
      </c>
      <c r="B970">
        <v>7.8125E-3</v>
      </c>
    </row>
    <row r="971" spans="1:2">
      <c r="A971" t="s">
        <v>562</v>
      </c>
      <c r="B971">
        <v>0</v>
      </c>
    </row>
    <row r="972" spans="1:2">
      <c r="A972" t="s">
        <v>554</v>
      </c>
      <c r="B972">
        <v>0</v>
      </c>
    </row>
    <row r="973" spans="1:2">
      <c r="A973" t="s">
        <v>555</v>
      </c>
      <c r="B973">
        <v>0.1953125</v>
      </c>
    </row>
    <row r="974" spans="1:2">
      <c r="A974" t="s">
        <v>556</v>
      </c>
      <c r="B974">
        <v>2.34375E-2</v>
      </c>
    </row>
    <row r="975" spans="1:2">
      <c r="A975" t="s">
        <v>561</v>
      </c>
      <c r="B975">
        <v>0</v>
      </c>
    </row>
    <row r="976" spans="1:2">
      <c r="A976" t="s">
        <v>397</v>
      </c>
      <c r="B976">
        <v>0.125</v>
      </c>
    </row>
    <row r="977" spans="1:2">
      <c r="A977" t="s">
        <v>553</v>
      </c>
      <c r="B977">
        <v>0.1328125</v>
      </c>
    </row>
    <row r="978" spans="1:2">
      <c r="A978" t="s">
        <v>397</v>
      </c>
      <c r="B978">
        <v>0.140625</v>
      </c>
    </row>
    <row r="979" spans="1:2">
      <c r="A979" t="s">
        <v>557</v>
      </c>
      <c r="B979">
        <v>0</v>
      </c>
    </row>
    <row r="980" spans="1:2">
      <c r="A980" t="s">
        <v>1146</v>
      </c>
      <c r="B980">
        <v>0</v>
      </c>
    </row>
    <row r="981" spans="1:2">
      <c r="A981" t="s">
        <v>558</v>
      </c>
      <c r="B981">
        <v>0</v>
      </c>
    </row>
    <row r="982" spans="1:2">
      <c r="A982" t="s">
        <v>551</v>
      </c>
      <c r="B982">
        <v>0</v>
      </c>
    </row>
    <row r="983" spans="1:2">
      <c r="A983" t="s">
        <v>559</v>
      </c>
      <c r="B983">
        <v>0</v>
      </c>
    </row>
    <row r="984" spans="1:2">
      <c r="A984" t="s">
        <v>552</v>
      </c>
      <c r="B984">
        <v>0</v>
      </c>
    </row>
    <row r="985" spans="1:2">
      <c r="A985" t="s">
        <v>560</v>
      </c>
      <c r="B985">
        <v>0</v>
      </c>
    </row>
    <row r="986" spans="1:2">
      <c r="A986" t="s">
        <v>563</v>
      </c>
      <c r="B986">
        <v>7.8125E-3</v>
      </c>
    </row>
    <row r="987" spans="1:2">
      <c r="A987" t="s">
        <v>561</v>
      </c>
      <c r="B987">
        <v>0</v>
      </c>
    </row>
    <row r="988" spans="1:2">
      <c r="A988" t="s">
        <v>553</v>
      </c>
      <c r="B988">
        <v>7.8125E-3</v>
      </c>
    </row>
    <row r="989" spans="1:2">
      <c r="A989" t="s">
        <v>562</v>
      </c>
      <c r="B989">
        <v>0</v>
      </c>
    </row>
    <row r="990" spans="1:2">
      <c r="A990" t="s">
        <v>554</v>
      </c>
      <c r="B990">
        <v>0</v>
      </c>
    </row>
    <row r="991" spans="1:2">
      <c r="A991" t="s">
        <v>555</v>
      </c>
      <c r="B991">
        <v>0.203125</v>
      </c>
    </row>
    <row r="992" spans="1:2">
      <c r="A992" t="s">
        <v>556</v>
      </c>
      <c r="B992">
        <v>2.34375E-2</v>
      </c>
    </row>
    <row r="993" spans="1:2">
      <c r="A993" t="s">
        <v>561</v>
      </c>
      <c r="B993">
        <v>0</v>
      </c>
    </row>
    <row r="994" spans="1:2">
      <c r="A994" t="s">
        <v>397</v>
      </c>
      <c r="B994">
        <v>0.125</v>
      </c>
    </row>
    <row r="995" spans="1:2">
      <c r="A995" t="s">
        <v>553</v>
      </c>
      <c r="B995">
        <v>0.1328125</v>
      </c>
    </row>
    <row r="996" spans="1:2">
      <c r="A996" t="s">
        <v>561</v>
      </c>
      <c r="B996">
        <v>0</v>
      </c>
    </row>
    <row r="997" spans="1:2">
      <c r="A997" t="s">
        <v>397</v>
      </c>
      <c r="B997">
        <v>0.1328125</v>
      </c>
    </row>
    <row r="998" spans="1:2">
      <c r="A998" t="s">
        <v>553</v>
      </c>
      <c r="B998">
        <v>0.140625</v>
      </c>
    </row>
    <row r="999" spans="1:2">
      <c r="A999" t="s">
        <v>561</v>
      </c>
      <c r="B999">
        <v>0</v>
      </c>
    </row>
    <row r="1000" spans="1:2">
      <c r="A1000" t="s">
        <v>397</v>
      </c>
      <c r="B1000">
        <v>0.140625</v>
      </c>
    </row>
    <row r="1001" spans="1:2">
      <c r="A1001" t="s">
        <v>553</v>
      </c>
      <c r="B1001">
        <v>0.1484375</v>
      </c>
    </row>
    <row r="1002" spans="1:2">
      <c r="A1002" t="s">
        <v>397</v>
      </c>
      <c r="B1002">
        <v>0.1484375</v>
      </c>
    </row>
    <row r="1003" spans="1:2">
      <c r="A1003" t="s">
        <v>557</v>
      </c>
      <c r="B1003">
        <v>0</v>
      </c>
    </row>
    <row r="1004" spans="1:2">
      <c r="A1004" t="s">
        <v>1146</v>
      </c>
      <c r="B1004">
        <v>0</v>
      </c>
    </row>
    <row r="1005" spans="1:2">
      <c r="A1005" t="s">
        <v>558</v>
      </c>
      <c r="B1005">
        <v>0</v>
      </c>
    </row>
    <row r="1006" spans="1:2">
      <c r="A1006" t="s">
        <v>551</v>
      </c>
      <c r="B1006">
        <v>0</v>
      </c>
    </row>
    <row r="1007" spans="1:2">
      <c r="A1007" t="s">
        <v>559</v>
      </c>
      <c r="B1007">
        <v>0</v>
      </c>
    </row>
    <row r="1008" spans="1:2">
      <c r="A1008" t="s">
        <v>552</v>
      </c>
      <c r="B1008">
        <v>0</v>
      </c>
    </row>
    <row r="1009" spans="1:2">
      <c r="A1009" t="s">
        <v>560</v>
      </c>
      <c r="B1009">
        <v>0</v>
      </c>
    </row>
    <row r="1010" spans="1:2">
      <c r="A1010" t="s">
        <v>563</v>
      </c>
      <c r="B1010">
        <v>0</v>
      </c>
    </row>
    <row r="1011" spans="1:2">
      <c r="A1011" t="s">
        <v>561</v>
      </c>
      <c r="B1011">
        <v>0</v>
      </c>
    </row>
    <row r="1012" spans="1:2">
      <c r="A1012" t="s">
        <v>553</v>
      </c>
      <c r="B1012">
        <v>7.8125E-3</v>
      </c>
    </row>
    <row r="1013" spans="1:2">
      <c r="A1013" t="s">
        <v>562</v>
      </c>
      <c r="B1013">
        <v>0</v>
      </c>
    </row>
    <row r="1014" spans="1:2">
      <c r="A1014" t="s">
        <v>554</v>
      </c>
      <c r="B1014">
        <v>0</v>
      </c>
    </row>
    <row r="1015" spans="1:2">
      <c r="A1015" t="s">
        <v>555</v>
      </c>
      <c r="B1015">
        <v>0.203125</v>
      </c>
    </row>
    <row r="1016" spans="1:2">
      <c r="A1016" t="s">
        <v>556</v>
      </c>
      <c r="B1016">
        <v>2.34375E-2</v>
      </c>
    </row>
    <row r="1017" spans="1:2">
      <c r="A1017" t="s">
        <v>397</v>
      </c>
      <c r="B1017">
        <v>0.140625</v>
      </c>
    </row>
    <row r="1018" spans="1:2">
      <c r="A1018" t="s">
        <v>557</v>
      </c>
      <c r="B1018">
        <v>0</v>
      </c>
    </row>
    <row r="1019" spans="1:2">
      <c r="A1019" t="s">
        <v>1146</v>
      </c>
      <c r="B1019">
        <v>7.8125E-3</v>
      </c>
    </row>
    <row r="1020" spans="1:2">
      <c r="A1020" t="s">
        <v>558</v>
      </c>
      <c r="B1020">
        <v>0</v>
      </c>
    </row>
    <row r="1021" spans="1:2">
      <c r="A1021" t="s">
        <v>551</v>
      </c>
      <c r="B1021">
        <v>7.8125E-3</v>
      </c>
    </row>
    <row r="1022" spans="1:2">
      <c r="A1022" t="s">
        <v>559</v>
      </c>
      <c r="B1022">
        <v>0</v>
      </c>
    </row>
    <row r="1023" spans="1:2">
      <c r="A1023" t="s">
        <v>552</v>
      </c>
      <c r="B1023">
        <v>0</v>
      </c>
    </row>
    <row r="1024" spans="1:2">
      <c r="A1024" t="s">
        <v>560</v>
      </c>
      <c r="B1024">
        <v>0</v>
      </c>
    </row>
    <row r="1025" spans="1:2">
      <c r="A1025" t="s">
        <v>563</v>
      </c>
      <c r="B1025">
        <v>0</v>
      </c>
    </row>
    <row r="1026" spans="1:2">
      <c r="A1026" t="s">
        <v>561</v>
      </c>
      <c r="B1026">
        <v>0</v>
      </c>
    </row>
    <row r="1027" spans="1:2">
      <c r="A1027" t="s">
        <v>553</v>
      </c>
      <c r="B1027">
        <v>7.8125E-3</v>
      </c>
    </row>
    <row r="1028" spans="1:2">
      <c r="A1028" t="s">
        <v>562</v>
      </c>
      <c r="B1028">
        <v>0</v>
      </c>
    </row>
    <row r="1029" spans="1:2">
      <c r="A1029" t="s">
        <v>554</v>
      </c>
      <c r="B1029">
        <v>0</v>
      </c>
    </row>
    <row r="1030" spans="1:2">
      <c r="A1030" t="s">
        <v>555</v>
      </c>
      <c r="B1030">
        <v>0.203125</v>
      </c>
    </row>
    <row r="1031" spans="1:2">
      <c r="A1031" t="s">
        <v>556</v>
      </c>
      <c r="B1031">
        <v>2.34375E-2</v>
      </c>
    </row>
    <row r="1032" spans="1:2">
      <c r="A1032" t="s">
        <v>397</v>
      </c>
      <c r="B1032">
        <v>0.140625</v>
      </c>
    </row>
    <row r="1033" spans="1:2">
      <c r="A1033" t="s">
        <v>557</v>
      </c>
      <c r="B1033">
        <v>0</v>
      </c>
    </row>
    <row r="1034" spans="1:2">
      <c r="A1034" t="s">
        <v>1146</v>
      </c>
      <c r="B1034">
        <v>7.8125E-3</v>
      </c>
    </row>
    <row r="1035" spans="1:2">
      <c r="A1035" t="s">
        <v>558</v>
      </c>
      <c r="B1035">
        <v>0</v>
      </c>
    </row>
    <row r="1036" spans="1:2">
      <c r="A1036" t="s">
        <v>551</v>
      </c>
      <c r="B1036">
        <v>0</v>
      </c>
    </row>
    <row r="1037" spans="1:2">
      <c r="A1037" t="s">
        <v>559</v>
      </c>
      <c r="B1037">
        <v>0</v>
      </c>
    </row>
    <row r="1038" spans="1:2">
      <c r="A1038" t="s">
        <v>552</v>
      </c>
      <c r="B1038">
        <v>7.8125E-3</v>
      </c>
    </row>
    <row r="1039" spans="1:2">
      <c r="A1039" t="s">
        <v>560</v>
      </c>
      <c r="B1039">
        <v>0</v>
      </c>
    </row>
    <row r="1040" spans="1:2">
      <c r="A1040" t="s">
        <v>563</v>
      </c>
      <c r="B1040">
        <v>0</v>
      </c>
    </row>
    <row r="1041" spans="1:2">
      <c r="A1041" t="s">
        <v>561</v>
      </c>
      <c r="B1041">
        <v>0</v>
      </c>
    </row>
    <row r="1042" spans="1:2">
      <c r="A1042" t="s">
        <v>553</v>
      </c>
      <c r="B1042">
        <v>0</v>
      </c>
    </row>
    <row r="1043" spans="1:2">
      <c r="A1043" t="s">
        <v>562</v>
      </c>
      <c r="B1043">
        <v>0</v>
      </c>
    </row>
    <row r="1044" spans="1:2">
      <c r="A1044" t="s">
        <v>554</v>
      </c>
      <c r="B1044">
        <v>0</v>
      </c>
    </row>
    <row r="1045" spans="1:2">
      <c r="A1045" t="s">
        <v>555</v>
      </c>
      <c r="B1045">
        <v>0.203125</v>
      </c>
    </row>
    <row r="1046" spans="1:2">
      <c r="A1046" t="s">
        <v>556</v>
      </c>
      <c r="B1046">
        <v>3.125E-2</v>
      </c>
    </row>
    <row r="1047" spans="1:2">
      <c r="A1047" t="s">
        <v>397</v>
      </c>
      <c r="B1047">
        <v>0.140625</v>
      </c>
    </row>
    <row r="1048" spans="1:2">
      <c r="A1048" t="s">
        <v>557</v>
      </c>
      <c r="B1048">
        <v>0</v>
      </c>
    </row>
    <row r="1049" spans="1:2">
      <c r="A1049" t="s">
        <v>1146</v>
      </c>
      <c r="B1049">
        <v>0</v>
      </c>
    </row>
    <row r="1050" spans="1:2">
      <c r="A1050" t="s">
        <v>558</v>
      </c>
      <c r="B1050">
        <v>0</v>
      </c>
    </row>
    <row r="1051" spans="1:2">
      <c r="A1051" t="s">
        <v>551</v>
      </c>
      <c r="B1051">
        <v>0</v>
      </c>
    </row>
    <row r="1052" spans="1:2">
      <c r="A1052" t="s">
        <v>559</v>
      </c>
      <c r="B1052">
        <v>0</v>
      </c>
    </row>
    <row r="1053" spans="1:2">
      <c r="A1053" t="s">
        <v>552</v>
      </c>
      <c r="B1053">
        <v>0</v>
      </c>
    </row>
    <row r="1054" spans="1:2">
      <c r="A1054" t="s">
        <v>560</v>
      </c>
      <c r="B1054">
        <v>0</v>
      </c>
    </row>
    <row r="1055" spans="1:2">
      <c r="A1055" t="s">
        <v>563</v>
      </c>
      <c r="B1055">
        <v>0</v>
      </c>
    </row>
    <row r="1056" spans="1:2">
      <c r="A1056" t="s">
        <v>561</v>
      </c>
      <c r="B1056">
        <v>0</v>
      </c>
    </row>
    <row r="1057" spans="1:2">
      <c r="A1057" t="s">
        <v>553</v>
      </c>
      <c r="B1057">
        <v>0</v>
      </c>
    </row>
    <row r="1058" spans="1:2">
      <c r="A1058" t="s">
        <v>562</v>
      </c>
      <c r="B1058">
        <v>0</v>
      </c>
    </row>
    <row r="1059" spans="1:2">
      <c r="A1059" t="s">
        <v>554</v>
      </c>
      <c r="B1059">
        <v>0</v>
      </c>
    </row>
    <row r="1060" spans="1:2">
      <c r="A1060" t="s">
        <v>555</v>
      </c>
      <c r="B1060">
        <v>0.1953125</v>
      </c>
    </row>
    <row r="1061" spans="1:2">
      <c r="A1061" t="s">
        <v>556</v>
      </c>
      <c r="B1061">
        <v>2.34375E-2</v>
      </c>
    </row>
    <row r="1062" spans="1:2">
      <c r="A1062" t="s">
        <v>561</v>
      </c>
      <c r="B1062">
        <v>0</v>
      </c>
    </row>
    <row r="1063" spans="1:2">
      <c r="A1063" t="s">
        <v>397</v>
      </c>
      <c r="B1063">
        <v>0.1328125</v>
      </c>
    </row>
    <row r="1064" spans="1:2">
      <c r="A1064" t="s">
        <v>553</v>
      </c>
      <c r="B1064">
        <v>0.1328125</v>
      </c>
    </row>
    <row r="1065" spans="1:2">
      <c r="A1065" t="s">
        <v>557</v>
      </c>
      <c r="B1065">
        <v>0</v>
      </c>
    </row>
    <row r="1066" spans="1:2">
      <c r="A1066" t="s">
        <v>397</v>
      </c>
      <c r="B1066">
        <v>0.1484375</v>
      </c>
    </row>
    <row r="1067" spans="1:2">
      <c r="A1067" t="s">
        <v>1146</v>
      </c>
      <c r="B1067">
        <v>0.15625</v>
      </c>
    </row>
    <row r="1068" spans="1:2">
      <c r="A1068" t="s">
        <v>397</v>
      </c>
      <c r="B1068">
        <v>0.140625</v>
      </c>
    </row>
    <row r="1069" spans="1:2">
      <c r="A1069" t="s">
        <v>557</v>
      </c>
      <c r="B1069">
        <v>0</v>
      </c>
    </row>
    <row r="1070" spans="1:2">
      <c r="A1070" t="s">
        <v>1146</v>
      </c>
      <c r="B1070">
        <v>7.8125E-3</v>
      </c>
    </row>
    <row r="1071" spans="1:2">
      <c r="A1071" t="s">
        <v>558</v>
      </c>
      <c r="B1071">
        <v>0</v>
      </c>
    </row>
    <row r="1072" spans="1:2">
      <c r="A1072" t="s">
        <v>551</v>
      </c>
      <c r="B1072">
        <v>0</v>
      </c>
    </row>
    <row r="1073" spans="1:2">
      <c r="A1073" t="s">
        <v>559</v>
      </c>
      <c r="B1073">
        <v>0</v>
      </c>
    </row>
    <row r="1074" spans="1:2">
      <c r="A1074" t="s">
        <v>552</v>
      </c>
      <c r="B1074">
        <v>7.8125E-3</v>
      </c>
    </row>
    <row r="1075" spans="1:2">
      <c r="A1075" t="s">
        <v>560</v>
      </c>
      <c r="B1075">
        <v>0</v>
      </c>
    </row>
    <row r="1076" spans="1:2">
      <c r="A1076" t="s">
        <v>563</v>
      </c>
      <c r="B1076">
        <v>0</v>
      </c>
    </row>
    <row r="1077" spans="1:2">
      <c r="A1077" t="s">
        <v>561</v>
      </c>
      <c r="B1077">
        <v>0</v>
      </c>
    </row>
    <row r="1078" spans="1:2">
      <c r="A1078" t="s">
        <v>553</v>
      </c>
      <c r="B1078">
        <v>0</v>
      </c>
    </row>
    <row r="1079" spans="1:2">
      <c r="A1079" t="s">
        <v>562</v>
      </c>
      <c r="B1079">
        <v>0</v>
      </c>
    </row>
    <row r="1080" spans="1:2">
      <c r="A1080" t="s">
        <v>554</v>
      </c>
      <c r="B1080">
        <v>7.8125E-3</v>
      </c>
    </row>
    <row r="1081" spans="1:2">
      <c r="A1081" t="s">
        <v>555</v>
      </c>
      <c r="B1081">
        <v>0.203125</v>
      </c>
    </row>
    <row r="1082" spans="1:2">
      <c r="A1082" t="s">
        <v>556</v>
      </c>
      <c r="B1082">
        <v>3.125E-2</v>
      </c>
    </row>
    <row r="1083" spans="1:2">
      <c r="A1083" t="s">
        <v>561</v>
      </c>
      <c r="B1083">
        <v>0</v>
      </c>
    </row>
    <row r="1084" spans="1:2">
      <c r="A1084" t="s">
        <v>397</v>
      </c>
      <c r="B1084">
        <v>0.1328125</v>
      </c>
    </row>
    <row r="1085" spans="1:2">
      <c r="A1085" t="s">
        <v>553</v>
      </c>
      <c r="B1085">
        <v>0.1328125</v>
      </c>
    </row>
    <row r="1086" spans="1:2">
      <c r="A1086" t="s">
        <v>561</v>
      </c>
      <c r="B1086">
        <v>0</v>
      </c>
    </row>
    <row r="1087" spans="1:2">
      <c r="A1087" t="s">
        <v>397</v>
      </c>
      <c r="B1087">
        <v>0.140625</v>
      </c>
    </row>
    <row r="1088" spans="1:2">
      <c r="A1088" t="s">
        <v>553</v>
      </c>
      <c r="B1088">
        <v>0.140625</v>
      </c>
    </row>
    <row r="1089" spans="1:2">
      <c r="A1089" t="s">
        <v>561</v>
      </c>
      <c r="B1089">
        <v>0</v>
      </c>
    </row>
    <row r="1090" spans="1:2">
      <c r="A1090" t="s">
        <v>397</v>
      </c>
      <c r="B1090">
        <v>0.1328125</v>
      </c>
    </row>
    <row r="1091" spans="1:2">
      <c r="A1091" t="s">
        <v>553</v>
      </c>
      <c r="B1091">
        <v>0.140625</v>
      </c>
    </row>
    <row r="1092" spans="1:2">
      <c r="A1092" t="s">
        <v>561</v>
      </c>
      <c r="B1092">
        <v>0</v>
      </c>
    </row>
    <row r="1093" spans="1:2">
      <c r="A1093" t="s">
        <v>397</v>
      </c>
      <c r="B1093">
        <v>0.140625</v>
      </c>
    </row>
    <row r="1094" spans="1:2">
      <c r="A1094" t="s">
        <v>553</v>
      </c>
      <c r="B1094">
        <v>0.140625</v>
      </c>
    </row>
    <row r="1095" spans="1:2">
      <c r="A1095" t="s">
        <v>397</v>
      </c>
      <c r="B1095">
        <v>0.1484375</v>
      </c>
    </row>
    <row r="1096" spans="1:2">
      <c r="A1096" t="s">
        <v>557</v>
      </c>
      <c r="B1096">
        <v>0</v>
      </c>
    </row>
    <row r="1097" spans="1:2">
      <c r="A1097" t="s">
        <v>1146</v>
      </c>
      <c r="B1097">
        <v>0</v>
      </c>
    </row>
    <row r="1098" spans="1:2">
      <c r="A1098" t="s">
        <v>558</v>
      </c>
      <c r="B1098">
        <v>0</v>
      </c>
    </row>
    <row r="1099" spans="1:2">
      <c r="A1099" t="s">
        <v>551</v>
      </c>
      <c r="B1099">
        <v>0</v>
      </c>
    </row>
    <row r="1100" spans="1:2">
      <c r="A1100" t="s">
        <v>559</v>
      </c>
      <c r="B1100">
        <v>0</v>
      </c>
    </row>
    <row r="1101" spans="1:2">
      <c r="A1101" t="s">
        <v>552</v>
      </c>
      <c r="B1101">
        <v>0</v>
      </c>
    </row>
    <row r="1102" spans="1:2">
      <c r="A1102" t="s">
        <v>560</v>
      </c>
      <c r="B1102">
        <v>0</v>
      </c>
    </row>
    <row r="1103" spans="1:2">
      <c r="A1103" t="s">
        <v>563</v>
      </c>
      <c r="B1103">
        <v>7.8125E-3</v>
      </c>
    </row>
    <row r="1104" spans="1:2">
      <c r="A1104" t="s">
        <v>561</v>
      </c>
      <c r="B1104">
        <v>0</v>
      </c>
    </row>
    <row r="1105" spans="1:2">
      <c r="A1105" t="s">
        <v>1154</v>
      </c>
      <c r="B1105">
        <v>0</v>
      </c>
    </row>
    <row r="1106" spans="1:2">
      <c r="A1106" t="s">
        <v>562</v>
      </c>
      <c r="B1106">
        <v>0</v>
      </c>
    </row>
    <row r="1107" spans="1:2">
      <c r="A1107" t="s">
        <v>554</v>
      </c>
      <c r="B1107">
        <v>0</v>
      </c>
    </row>
    <row r="1108" spans="1:2">
      <c r="A1108" t="s">
        <v>555</v>
      </c>
      <c r="B1108">
        <v>0.203125</v>
      </c>
    </row>
    <row r="1109" spans="1:2">
      <c r="A1109" t="s">
        <v>556</v>
      </c>
      <c r="B1109">
        <v>2.34375E-2</v>
      </c>
    </row>
    <row r="1110" spans="1:2">
      <c r="A1110" t="s">
        <v>562</v>
      </c>
      <c r="B1110">
        <v>0</v>
      </c>
    </row>
    <row r="1111" spans="1:2">
      <c r="A1111" t="s">
        <v>397</v>
      </c>
      <c r="B1111">
        <v>0.125</v>
      </c>
    </row>
    <row r="1112" spans="1:2">
      <c r="A1112" t="s">
        <v>554</v>
      </c>
      <c r="B1112">
        <v>0.125</v>
      </c>
    </row>
    <row r="1113" spans="1:2">
      <c r="A1113" t="s">
        <v>562</v>
      </c>
      <c r="B1113">
        <v>0</v>
      </c>
    </row>
    <row r="1114" spans="1:2">
      <c r="A1114" t="s">
        <v>397</v>
      </c>
      <c r="B1114">
        <v>0.1328125</v>
      </c>
    </row>
    <row r="1115" spans="1:2">
      <c r="A1115" t="s">
        <v>554</v>
      </c>
      <c r="B1115">
        <v>0.140625</v>
      </c>
    </row>
    <row r="1116" spans="1:2">
      <c r="A1116" t="s">
        <v>562</v>
      </c>
      <c r="B1116">
        <v>0</v>
      </c>
    </row>
    <row r="1117" spans="1:2">
      <c r="A1117" t="s">
        <v>397</v>
      </c>
      <c r="B1117">
        <v>0.140625</v>
      </c>
    </row>
    <row r="1118" spans="1:2">
      <c r="A1118" t="s">
        <v>554</v>
      </c>
      <c r="B1118">
        <v>0.140625</v>
      </c>
    </row>
    <row r="1119" spans="1:2">
      <c r="A1119" t="s">
        <v>561</v>
      </c>
      <c r="B1119">
        <v>0</v>
      </c>
    </row>
    <row r="1120" spans="1:2">
      <c r="A1120" t="s">
        <v>397</v>
      </c>
      <c r="B1120">
        <v>0.15625</v>
      </c>
    </row>
    <row r="1121" spans="1:2">
      <c r="A1121" t="s">
        <v>1154</v>
      </c>
      <c r="B1121">
        <v>0.1640625</v>
      </c>
    </row>
    <row r="1122" spans="1:2">
      <c r="A1122" t="s">
        <v>562</v>
      </c>
      <c r="B1122">
        <v>0</v>
      </c>
    </row>
    <row r="1123" spans="1:2">
      <c r="A1123" t="s">
        <v>397</v>
      </c>
      <c r="B1123">
        <v>0.1171875</v>
      </c>
    </row>
    <row r="1124" spans="1:2">
      <c r="A1124" t="s">
        <v>554</v>
      </c>
      <c r="B1124">
        <v>0.125</v>
      </c>
    </row>
    <row r="1125" spans="1:2">
      <c r="A1125" t="s">
        <v>562</v>
      </c>
      <c r="B1125">
        <v>0</v>
      </c>
    </row>
    <row r="1126" spans="1:2">
      <c r="A1126" t="s">
        <v>397</v>
      </c>
      <c r="B1126">
        <v>0.140625</v>
      </c>
    </row>
    <row r="1127" spans="1:2">
      <c r="A1127" t="s">
        <v>554</v>
      </c>
      <c r="B1127">
        <v>0.140625</v>
      </c>
    </row>
    <row r="1128" spans="1:2">
      <c r="A1128" t="s">
        <v>561</v>
      </c>
      <c r="B1128">
        <v>0</v>
      </c>
    </row>
    <row r="1129" spans="1:2">
      <c r="A1129" t="s">
        <v>397</v>
      </c>
      <c r="B1129">
        <v>0.140625</v>
      </c>
    </row>
    <row r="1130" spans="1:2">
      <c r="A1130" t="s">
        <v>1154</v>
      </c>
      <c r="B1130">
        <v>0.140625</v>
      </c>
    </row>
    <row r="1131" spans="1:2">
      <c r="A1131" t="s">
        <v>562</v>
      </c>
      <c r="B1131">
        <v>0</v>
      </c>
    </row>
    <row r="1132" spans="1:2">
      <c r="A1132" t="s">
        <v>397</v>
      </c>
      <c r="B1132">
        <v>0.1328125</v>
      </c>
    </row>
    <row r="1133" spans="1:2">
      <c r="A1133" t="s">
        <v>554</v>
      </c>
      <c r="B1133">
        <v>0.1328125</v>
      </c>
    </row>
    <row r="1134" spans="1:2">
      <c r="A1134" t="s">
        <v>397</v>
      </c>
      <c r="B1134">
        <v>0.15625</v>
      </c>
    </row>
    <row r="1135" spans="1:2">
      <c r="A1135" t="s">
        <v>557</v>
      </c>
      <c r="B1135">
        <v>0</v>
      </c>
    </row>
    <row r="1136" spans="1:2">
      <c r="A1136" t="s">
        <v>548</v>
      </c>
      <c r="B1136">
        <v>0</v>
      </c>
    </row>
    <row r="1137" spans="1:2">
      <c r="A1137" t="s">
        <v>558</v>
      </c>
      <c r="B1137">
        <v>0</v>
      </c>
    </row>
    <row r="1138" spans="1:2">
      <c r="A1138" t="s">
        <v>551</v>
      </c>
      <c r="B1138">
        <v>0</v>
      </c>
    </row>
    <row r="1139" spans="1:2">
      <c r="A1139" t="s">
        <v>559</v>
      </c>
      <c r="B1139">
        <v>0</v>
      </c>
    </row>
    <row r="1140" spans="1:2">
      <c r="A1140" t="s">
        <v>552</v>
      </c>
      <c r="B1140">
        <v>0</v>
      </c>
    </row>
    <row r="1141" spans="1:2">
      <c r="A1141" t="s">
        <v>560</v>
      </c>
      <c r="B1141">
        <v>0</v>
      </c>
    </row>
    <row r="1142" spans="1:2">
      <c r="A1142" t="s">
        <v>563</v>
      </c>
      <c r="B1142">
        <v>0</v>
      </c>
    </row>
    <row r="1143" spans="1:2">
      <c r="A1143" t="s">
        <v>561</v>
      </c>
      <c r="B1143">
        <v>0</v>
      </c>
    </row>
    <row r="1144" spans="1:2">
      <c r="A1144" t="s">
        <v>1154</v>
      </c>
      <c r="B1144">
        <v>0</v>
      </c>
    </row>
    <row r="1145" spans="1:2">
      <c r="A1145" t="s">
        <v>562</v>
      </c>
      <c r="B1145">
        <v>0</v>
      </c>
    </row>
    <row r="1146" spans="1:2">
      <c r="A1146" t="s">
        <v>554</v>
      </c>
      <c r="B1146">
        <v>0</v>
      </c>
    </row>
    <row r="1147" spans="1:2">
      <c r="A1147" t="s">
        <v>555</v>
      </c>
      <c r="B1147">
        <v>0.2109375</v>
      </c>
    </row>
    <row r="1148" spans="1:2">
      <c r="A1148" t="s">
        <v>556</v>
      </c>
      <c r="B1148">
        <v>1.5625E-2</v>
      </c>
    </row>
    <row r="1149" spans="1:2">
      <c r="A1149" t="s">
        <v>397</v>
      </c>
      <c r="B1149">
        <v>0.1484375</v>
      </c>
    </row>
    <row r="1150" spans="1:2">
      <c r="A1150" t="s">
        <v>557</v>
      </c>
      <c r="B1150">
        <v>0</v>
      </c>
    </row>
    <row r="1151" spans="1:2">
      <c r="A1151" t="s">
        <v>1146</v>
      </c>
      <c r="B1151">
        <v>0</v>
      </c>
    </row>
    <row r="1152" spans="1:2">
      <c r="A1152" t="s">
        <v>558</v>
      </c>
      <c r="B1152">
        <v>0</v>
      </c>
    </row>
    <row r="1153" spans="1:2">
      <c r="A1153" t="s">
        <v>551</v>
      </c>
      <c r="B1153">
        <v>7.8125E-3</v>
      </c>
    </row>
    <row r="1154" spans="1:2">
      <c r="A1154" t="s">
        <v>559</v>
      </c>
      <c r="B1154">
        <v>0</v>
      </c>
    </row>
    <row r="1155" spans="1:2">
      <c r="A1155" t="s">
        <v>552</v>
      </c>
      <c r="B1155">
        <v>0</v>
      </c>
    </row>
    <row r="1156" spans="1:2">
      <c r="A1156" t="s">
        <v>560</v>
      </c>
      <c r="B1156">
        <v>0</v>
      </c>
    </row>
    <row r="1157" spans="1:2">
      <c r="A1157" t="s">
        <v>563</v>
      </c>
      <c r="B1157">
        <v>0</v>
      </c>
    </row>
    <row r="1158" spans="1:2">
      <c r="A1158" t="s">
        <v>561</v>
      </c>
      <c r="B1158">
        <v>0</v>
      </c>
    </row>
    <row r="1159" spans="1:2">
      <c r="A1159" t="s">
        <v>1154</v>
      </c>
      <c r="B1159">
        <v>7.8125E-3</v>
      </c>
    </row>
    <row r="1160" spans="1:2">
      <c r="A1160" t="s">
        <v>562</v>
      </c>
      <c r="B1160">
        <v>0</v>
      </c>
    </row>
    <row r="1161" spans="1:2">
      <c r="A1161" t="s">
        <v>554</v>
      </c>
      <c r="B1161">
        <v>0</v>
      </c>
    </row>
    <row r="1162" spans="1:2">
      <c r="A1162" t="s">
        <v>555</v>
      </c>
      <c r="B1162">
        <v>0.1953125</v>
      </c>
    </row>
    <row r="1163" spans="1:2">
      <c r="A1163" t="s">
        <v>556</v>
      </c>
      <c r="B1163">
        <v>2.34375E-2</v>
      </c>
    </row>
    <row r="1164" spans="1:2">
      <c r="A1164" t="s">
        <v>557</v>
      </c>
      <c r="B1164">
        <v>0</v>
      </c>
    </row>
    <row r="1165" spans="1:2">
      <c r="A1165" t="s">
        <v>397</v>
      </c>
      <c r="B1165">
        <v>0.1640625</v>
      </c>
    </row>
    <row r="1166" spans="1:2">
      <c r="A1166" t="s">
        <v>1146</v>
      </c>
      <c r="B1166">
        <v>0.171875</v>
      </c>
    </row>
  </sheetData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Z16"/>
  <sheetViews>
    <sheetView workbookViewId="0">
      <selection sqref="A1:F1"/>
    </sheetView>
  </sheetViews>
  <sheetFormatPr baseColWidth="10" defaultColWidth="12.83203125" defaultRowHeight="16"/>
  <cols>
    <col min="1" max="1" width="43.83203125" style="6" bestFit="1" customWidth="1"/>
    <col min="2" max="3" width="5.5" style="6" bestFit="1" customWidth="1"/>
    <col min="4" max="16384" width="12.83203125" style="6"/>
  </cols>
  <sheetData>
    <row r="1" spans="1:52" s="11" customFormat="1">
      <c r="A1" s="10" t="s">
        <v>42</v>
      </c>
      <c r="B1" s="10" t="s">
        <v>51</v>
      </c>
      <c r="C1" s="10" t="s">
        <v>208</v>
      </c>
      <c r="D1" s="10" t="s">
        <v>209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>
      <c r="A2" s="7" t="s">
        <v>31</v>
      </c>
      <c r="B2" s="7">
        <v>2</v>
      </c>
      <c r="C2" s="6">
        <v>1</v>
      </c>
      <c r="D2" s="6">
        <v>1</v>
      </c>
      <c r="E2" s="6" t="s">
        <v>258</v>
      </c>
      <c r="F2" s="19" t="s">
        <v>567</v>
      </c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</row>
    <row r="3" spans="1:52">
      <c r="A3" s="8" t="s">
        <v>32</v>
      </c>
      <c r="B3" s="8">
        <v>1</v>
      </c>
      <c r="C3" s="6">
        <v>1</v>
      </c>
      <c r="D3" s="6">
        <v>1</v>
      </c>
      <c r="E3" s="6" t="s">
        <v>258</v>
      </c>
      <c r="F3" s="20" t="s">
        <v>564</v>
      </c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</row>
    <row r="4" spans="1:52">
      <c r="A4" s="8" t="s">
        <v>32</v>
      </c>
      <c r="B4" s="8">
        <v>1</v>
      </c>
      <c r="C4" s="6">
        <v>1</v>
      </c>
      <c r="D4" s="6">
        <v>1</v>
      </c>
      <c r="E4" s="6" t="s">
        <v>258</v>
      </c>
      <c r="F4" s="20" t="s">
        <v>565</v>
      </c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</row>
    <row r="5" spans="1:52">
      <c r="A5" s="8" t="s">
        <v>33</v>
      </c>
      <c r="B5" s="8">
        <v>1</v>
      </c>
      <c r="C5" s="6">
        <v>1</v>
      </c>
      <c r="D5" s="6">
        <v>1</v>
      </c>
      <c r="E5" s="6" t="s">
        <v>258</v>
      </c>
      <c r="F5" s="20" t="s">
        <v>566</v>
      </c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</row>
    <row r="6" spans="1:52">
      <c r="A6" s="9" t="s">
        <v>34</v>
      </c>
      <c r="B6" s="9">
        <v>1</v>
      </c>
      <c r="C6" s="6">
        <v>1</v>
      </c>
      <c r="D6" s="6">
        <v>1</v>
      </c>
      <c r="E6" s="6" t="s">
        <v>258</v>
      </c>
      <c r="F6" s="21" t="s">
        <v>568</v>
      </c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</row>
    <row r="7" spans="1:52">
      <c r="A7" s="9" t="s">
        <v>34</v>
      </c>
      <c r="B7" s="9">
        <v>1</v>
      </c>
      <c r="C7" s="6">
        <v>1</v>
      </c>
      <c r="D7" s="6">
        <v>1</v>
      </c>
      <c r="E7" s="6" t="s">
        <v>258</v>
      </c>
      <c r="F7" s="21" t="s">
        <v>569</v>
      </c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</row>
    <row r="8" spans="1:52">
      <c r="A8" s="9" t="s">
        <v>34</v>
      </c>
      <c r="B8" s="9">
        <v>1</v>
      </c>
      <c r="C8" s="6">
        <v>1</v>
      </c>
      <c r="D8" s="6">
        <v>1</v>
      </c>
      <c r="E8" s="6" t="s">
        <v>258</v>
      </c>
      <c r="F8" s="21" t="s">
        <v>570</v>
      </c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</row>
    <row r="9" spans="1:52">
      <c r="A9" s="9" t="s">
        <v>34</v>
      </c>
      <c r="B9" s="9">
        <v>1</v>
      </c>
      <c r="C9" s="6">
        <v>1</v>
      </c>
      <c r="D9" s="6">
        <v>1</v>
      </c>
      <c r="E9" s="6" t="s">
        <v>258</v>
      </c>
      <c r="F9" s="21" t="s">
        <v>571</v>
      </c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</row>
    <row r="10" spans="1:52">
      <c r="A10" s="9" t="s">
        <v>34</v>
      </c>
      <c r="B10" s="9">
        <v>1</v>
      </c>
      <c r="C10" s="6">
        <v>1</v>
      </c>
      <c r="D10" s="6">
        <v>1</v>
      </c>
      <c r="E10" s="6" t="s">
        <v>258</v>
      </c>
      <c r="F10" s="22" t="s">
        <v>622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</row>
    <row r="11" spans="1:52">
      <c r="A11" s="9" t="s">
        <v>34</v>
      </c>
      <c r="B11" s="9">
        <v>1</v>
      </c>
      <c r="C11" s="6">
        <v>1</v>
      </c>
      <c r="D11" s="6">
        <v>1</v>
      </c>
      <c r="E11" s="6" t="s">
        <v>258</v>
      </c>
      <c r="F11" s="22" t="s">
        <v>621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</row>
    <row r="12" spans="1:52">
      <c r="A12" s="7" t="s">
        <v>35</v>
      </c>
      <c r="B12" s="7">
        <v>1</v>
      </c>
      <c r="C12" s="7">
        <v>1</v>
      </c>
      <c r="D12" s="6">
        <v>1</v>
      </c>
      <c r="E12" s="7" t="s">
        <v>258</v>
      </c>
      <c r="F12" s="19" t="s">
        <v>623</v>
      </c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</row>
    <row r="13" spans="1:52">
      <c r="A13" s="7" t="s">
        <v>36</v>
      </c>
      <c r="B13" s="7">
        <v>1</v>
      </c>
      <c r="C13" s="6">
        <v>1</v>
      </c>
      <c r="D13" s="6">
        <v>1</v>
      </c>
      <c r="E13" s="6" t="s">
        <v>258</v>
      </c>
      <c r="F13" s="19" t="s">
        <v>624</v>
      </c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</row>
    <row r="14" spans="1:52">
      <c r="A14" s="8" t="s">
        <v>37</v>
      </c>
      <c r="B14" s="8">
        <v>1</v>
      </c>
      <c r="C14" s="8">
        <v>2</v>
      </c>
      <c r="D14" s="6">
        <v>2</v>
      </c>
      <c r="E14" s="8" t="s">
        <v>258</v>
      </c>
      <c r="F14" s="20" t="s">
        <v>636</v>
      </c>
      <c r="G14" s="20" t="s">
        <v>640</v>
      </c>
      <c r="H14" s="17"/>
      <c r="I14" s="16"/>
      <c r="J14" s="16"/>
      <c r="K14" s="16"/>
      <c r="L14" s="16"/>
      <c r="M14" s="16"/>
      <c r="N14" s="36"/>
      <c r="O14" s="16"/>
      <c r="P14" s="1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</row>
    <row r="15" spans="1:52">
      <c r="A15" s="8" t="s">
        <v>38</v>
      </c>
      <c r="B15" s="8">
        <v>1</v>
      </c>
      <c r="C15" s="8">
        <v>1</v>
      </c>
      <c r="D15" s="6">
        <v>1</v>
      </c>
      <c r="E15" s="8" t="s">
        <v>258</v>
      </c>
      <c r="F15" s="20" t="s">
        <v>652</v>
      </c>
      <c r="G15" s="16"/>
      <c r="H15" s="16"/>
      <c r="I15" s="16"/>
      <c r="J15" s="16"/>
      <c r="K15" s="1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</row>
    <row r="16" spans="1:52">
      <c r="A16" s="8" t="s">
        <v>39</v>
      </c>
      <c r="B16" s="8">
        <v>1</v>
      </c>
      <c r="C16" s="8">
        <v>2</v>
      </c>
      <c r="D16" s="6">
        <v>2</v>
      </c>
      <c r="E16" s="8" t="s">
        <v>258</v>
      </c>
      <c r="F16" s="61" t="s">
        <v>625</v>
      </c>
      <c r="G16" s="61" t="s">
        <v>626</v>
      </c>
      <c r="H16" s="61" t="s">
        <v>650</v>
      </c>
      <c r="I16" s="61" t="s">
        <v>651</v>
      </c>
      <c r="J16" s="61" t="s">
        <v>627</v>
      </c>
      <c r="K16" s="61" t="s">
        <v>628</v>
      </c>
      <c r="L16" s="61" t="s">
        <v>629</v>
      </c>
      <c r="M16" s="61" t="s">
        <v>630</v>
      </c>
      <c r="N16" s="61" t="s">
        <v>675</v>
      </c>
      <c r="O16" s="61" t="s">
        <v>631</v>
      </c>
      <c r="P16" s="61" t="s">
        <v>658</v>
      </c>
      <c r="Q16" s="61" t="s">
        <v>657</v>
      </c>
      <c r="R16" s="61" t="s">
        <v>657</v>
      </c>
      <c r="S16" s="61" t="s">
        <v>656</v>
      </c>
      <c r="T16" s="61" t="s">
        <v>632</v>
      </c>
      <c r="U16" s="61" t="s">
        <v>633</v>
      </c>
      <c r="V16" s="64" t="s">
        <v>634</v>
      </c>
      <c r="W16" s="64" t="s">
        <v>635</v>
      </c>
      <c r="X16" s="91" t="s">
        <v>659</v>
      </c>
      <c r="Y16" s="61" t="s">
        <v>660</v>
      </c>
      <c r="Z16" s="91" t="s">
        <v>661</v>
      </c>
      <c r="AA16" s="61" t="s">
        <v>662</v>
      </c>
      <c r="AB16" s="61" t="s">
        <v>663</v>
      </c>
      <c r="AC16" s="61" t="s">
        <v>664</v>
      </c>
      <c r="AD16" s="61" t="s">
        <v>676</v>
      </c>
      <c r="AE16" s="61" t="s">
        <v>665</v>
      </c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Z6"/>
  <sheetViews>
    <sheetView workbookViewId="0">
      <selection activeCell="H13" sqref="H13"/>
    </sheetView>
  </sheetViews>
  <sheetFormatPr baseColWidth="10" defaultColWidth="13" defaultRowHeight="16"/>
  <cols>
    <col min="1" max="1" width="21.5" bestFit="1" customWidth="1"/>
  </cols>
  <sheetData>
    <row r="1" spans="1:52" s="11" customFormat="1">
      <c r="A1" s="10" t="s">
        <v>42</v>
      </c>
      <c r="B1" s="10" t="s">
        <v>8</v>
      </c>
      <c r="C1" s="10" t="s">
        <v>208</v>
      </c>
      <c r="D1" s="10" t="s">
        <v>210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 ht="20">
      <c r="A2" t="s">
        <v>53</v>
      </c>
      <c r="B2">
        <v>2</v>
      </c>
      <c r="C2">
        <v>4</v>
      </c>
      <c r="D2">
        <v>4</v>
      </c>
      <c r="E2" t="s">
        <v>258</v>
      </c>
      <c r="F2" s="64" t="s">
        <v>691</v>
      </c>
      <c r="G2" s="64" t="s">
        <v>732</v>
      </c>
      <c r="H2" s="93" t="s">
        <v>733</v>
      </c>
      <c r="I2" s="61" t="s">
        <v>737</v>
      </c>
      <c r="J2" s="93" t="s">
        <v>738</v>
      </c>
      <c r="K2" s="61" t="s">
        <v>739</v>
      </c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t="s">
        <v>50</v>
      </c>
      <c r="B3">
        <v>3</v>
      </c>
      <c r="C3">
        <v>1</v>
      </c>
      <c r="D3">
        <v>1</v>
      </c>
      <c r="E3" t="s">
        <v>258</v>
      </c>
      <c r="F3" s="64" t="s">
        <v>746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>
      <c r="A4" t="s">
        <v>546</v>
      </c>
      <c r="B4">
        <v>3</v>
      </c>
      <c r="C4">
        <v>1</v>
      </c>
      <c r="D4">
        <v>1</v>
      </c>
      <c r="E4" t="s">
        <v>258</v>
      </c>
      <c r="F4" s="61" t="s">
        <v>747</v>
      </c>
      <c r="G4" s="64" t="s">
        <v>748</v>
      </c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>
      <c r="A5" t="s">
        <v>545</v>
      </c>
      <c r="B5">
        <v>4</v>
      </c>
      <c r="C5">
        <v>1</v>
      </c>
      <c r="D5">
        <v>1</v>
      </c>
      <c r="E5" t="s">
        <v>258</v>
      </c>
      <c r="F5" s="64" t="s">
        <v>756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>
      <c r="A6" t="s">
        <v>547</v>
      </c>
      <c r="C6">
        <v>2</v>
      </c>
      <c r="D6">
        <v>2</v>
      </c>
      <c r="E6" t="s">
        <v>258</v>
      </c>
      <c r="F6" s="63" t="s">
        <v>744</v>
      </c>
      <c r="G6" s="63" t="s">
        <v>745</v>
      </c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AZ11"/>
  <sheetViews>
    <sheetView topLeftCell="A2" workbookViewId="0">
      <selection activeCell="E21" sqref="E21"/>
    </sheetView>
  </sheetViews>
  <sheetFormatPr baseColWidth="10" defaultColWidth="13" defaultRowHeight="16"/>
  <sheetData>
    <row r="1" spans="1:52" s="11" customFormat="1">
      <c r="A1" s="10" t="s">
        <v>42</v>
      </c>
      <c r="B1" s="10" t="s">
        <v>8</v>
      </c>
      <c r="C1" s="10" t="s">
        <v>208</v>
      </c>
      <c r="D1" s="10" t="s">
        <v>211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>
      <c r="A2" t="s">
        <v>53</v>
      </c>
      <c r="B2">
        <v>1</v>
      </c>
      <c r="C2">
        <v>1</v>
      </c>
      <c r="D2">
        <v>1</v>
      </c>
      <c r="E2" t="s">
        <v>258</v>
      </c>
      <c r="F2" s="64" t="s">
        <v>691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t="s">
        <v>54</v>
      </c>
      <c r="B3">
        <v>1</v>
      </c>
      <c r="C3">
        <v>1</v>
      </c>
      <c r="D3">
        <v>1</v>
      </c>
      <c r="E3" t="s">
        <v>258</v>
      </c>
      <c r="F3" s="64" t="s">
        <v>732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 ht="20">
      <c r="A4" t="s">
        <v>55</v>
      </c>
      <c r="B4">
        <v>1</v>
      </c>
      <c r="C4">
        <v>1</v>
      </c>
      <c r="D4">
        <v>1</v>
      </c>
      <c r="E4" t="s">
        <v>258</v>
      </c>
      <c r="F4" s="93" t="s">
        <v>733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 ht="20">
      <c r="A5" t="s">
        <v>62</v>
      </c>
      <c r="B5">
        <v>2</v>
      </c>
      <c r="C5">
        <v>1</v>
      </c>
      <c r="D5">
        <v>1</v>
      </c>
      <c r="E5" t="s">
        <v>258</v>
      </c>
      <c r="F5" s="93" t="s">
        <v>737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>
      <c r="A6" t="s">
        <v>59</v>
      </c>
      <c r="B6">
        <v>2</v>
      </c>
      <c r="C6">
        <v>1</v>
      </c>
      <c r="D6">
        <v>1</v>
      </c>
      <c r="E6" t="s">
        <v>258</v>
      </c>
      <c r="F6" s="64" t="s">
        <v>738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  <row r="7" spans="1:52">
      <c r="A7" t="s">
        <v>60</v>
      </c>
      <c r="B7">
        <v>2</v>
      </c>
      <c r="C7">
        <v>1</v>
      </c>
      <c r="D7">
        <v>1</v>
      </c>
      <c r="E7" t="s">
        <v>258</v>
      </c>
      <c r="F7" s="64" t="s">
        <v>739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</row>
    <row r="8" spans="1:52">
      <c r="A8" t="s">
        <v>63</v>
      </c>
      <c r="B8">
        <v>3</v>
      </c>
      <c r="C8">
        <v>1</v>
      </c>
      <c r="D8">
        <v>1</v>
      </c>
      <c r="E8" t="s">
        <v>258</v>
      </c>
      <c r="F8" s="64" t="s">
        <v>740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</row>
    <row r="9" spans="1:52">
      <c r="A9" t="s">
        <v>64</v>
      </c>
      <c r="B9">
        <v>3</v>
      </c>
      <c r="C9">
        <v>1</v>
      </c>
      <c r="D9">
        <v>1</v>
      </c>
      <c r="E9" t="s">
        <v>258</v>
      </c>
      <c r="F9" s="64" t="s">
        <v>741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</row>
    <row r="10" spans="1:52">
      <c r="A10" t="s">
        <v>150</v>
      </c>
      <c r="B10">
        <v>4</v>
      </c>
      <c r="C10">
        <v>1</v>
      </c>
      <c r="D10">
        <v>1</v>
      </c>
      <c r="E10" t="s">
        <v>258</v>
      </c>
      <c r="F10" s="63" t="s">
        <v>750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</row>
    <row r="11" spans="1:52" ht="20">
      <c r="A11" t="s">
        <v>65</v>
      </c>
      <c r="B11">
        <v>2</v>
      </c>
      <c r="C11">
        <v>1</v>
      </c>
      <c r="D11">
        <v>1</v>
      </c>
      <c r="E11" t="s">
        <v>258</v>
      </c>
      <c r="F11" s="93" t="s">
        <v>734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ADBF-0D41-D847-BA1C-E1F78BA58989}">
  <sheetPr codeName="Sheet23"/>
  <dimension ref="A1:AZ9"/>
  <sheetViews>
    <sheetView workbookViewId="0">
      <selection activeCell="C3" sqref="C3"/>
    </sheetView>
  </sheetViews>
  <sheetFormatPr baseColWidth="10" defaultColWidth="13" defaultRowHeight="16"/>
  <cols>
    <col min="2" max="3" width="5.1640625" bestFit="1" customWidth="1"/>
  </cols>
  <sheetData>
    <row r="1" spans="1:52" s="11" customFormat="1">
      <c r="A1" s="10" t="s">
        <v>42</v>
      </c>
      <c r="B1" s="10" t="s">
        <v>8</v>
      </c>
      <c r="C1" s="10" t="s">
        <v>41</v>
      </c>
      <c r="D1" s="10" t="s">
        <v>44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>
      <c r="A2" t="s">
        <v>334</v>
      </c>
      <c r="B2">
        <v>2</v>
      </c>
      <c r="C2">
        <v>6</v>
      </c>
      <c r="D2">
        <v>1</v>
      </c>
      <c r="E2" t="s">
        <v>257</v>
      </c>
      <c r="F2" s="62" t="s">
        <v>356</v>
      </c>
      <c r="G2" s="61" t="s">
        <v>231</v>
      </c>
      <c r="H2" s="61" t="s">
        <v>232</v>
      </c>
      <c r="I2" s="62" t="s">
        <v>233</v>
      </c>
      <c r="J2" s="62" t="s">
        <v>234</v>
      </c>
      <c r="K2" s="63" t="s">
        <v>235</v>
      </c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t="s">
        <v>334</v>
      </c>
      <c r="B3">
        <v>3</v>
      </c>
      <c r="C3">
        <v>4</v>
      </c>
      <c r="D3">
        <v>0</v>
      </c>
      <c r="E3" t="s">
        <v>257</v>
      </c>
      <c r="F3" s="61" t="s">
        <v>227</v>
      </c>
      <c r="G3" s="61" t="s">
        <v>228</v>
      </c>
      <c r="H3" s="62" t="s">
        <v>229</v>
      </c>
      <c r="I3" s="62" t="s">
        <v>230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>
      <c r="A4" s="15" t="s">
        <v>335</v>
      </c>
      <c r="B4">
        <v>2</v>
      </c>
      <c r="C4">
        <v>4</v>
      </c>
      <c r="D4">
        <v>0</v>
      </c>
      <c r="E4" t="s">
        <v>257</v>
      </c>
      <c r="F4" s="61" t="s">
        <v>241</v>
      </c>
      <c r="G4" s="61" t="s">
        <v>242</v>
      </c>
      <c r="H4" s="61" t="s">
        <v>243</v>
      </c>
      <c r="I4" s="61" t="s">
        <v>244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>
      <c r="A5" s="15" t="s">
        <v>335</v>
      </c>
      <c r="B5">
        <v>3</v>
      </c>
      <c r="C5">
        <v>6</v>
      </c>
      <c r="D5">
        <v>1</v>
      </c>
      <c r="E5" t="s">
        <v>257</v>
      </c>
      <c r="F5" s="61" t="s">
        <v>236</v>
      </c>
      <c r="G5" s="61" t="s">
        <v>237</v>
      </c>
      <c r="H5" s="61" t="s">
        <v>238</v>
      </c>
      <c r="I5" s="62" t="s">
        <v>239</v>
      </c>
      <c r="J5" s="62" t="s">
        <v>240</v>
      </c>
      <c r="K5" s="67" t="s">
        <v>219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>
      <c r="A6" t="s">
        <v>336</v>
      </c>
      <c r="B6">
        <v>1</v>
      </c>
      <c r="C6">
        <v>3</v>
      </c>
      <c r="D6">
        <v>0</v>
      </c>
      <c r="E6" t="s">
        <v>257</v>
      </c>
      <c r="F6" s="66" t="s">
        <v>338</v>
      </c>
      <c r="G6" s="15" t="s">
        <v>339</v>
      </c>
      <c r="H6" s="15" t="s">
        <v>340</v>
      </c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  <row r="7" spans="1:52">
      <c r="A7" t="s">
        <v>336</v>
      </c>
      <c r="B7">
        <v>2</v>
      </c>
      <c r="C7">
        <v>3</v>
      </c>
      <c r="D7">
        <v>0</v>
      </c>
      <c r="E7" t="s">
        <v>257</v>
      </c>
      <c r="F7" s="61" t="s">
        <v>341</v>
      </c>
      <c r="G7" s="15" t="s">
        <v>342</v>
      </c>
      <c r="H7" s="15" t="s">
        <v>343</v>
      </c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</row>
    <row r="8" spans="1:52">
      <c r="A8" t="s">
        <v>337</v>
      </c>
      <c r="B8">
        <v>1</v>
      </c>
      <c r="C8">
        <v>6</v>
      </c>
      <c r="D8">
        <v>0</v>
      </c>
      <c r="E8" t="s">
        <v>257</v>
      </c>
      <c r="F8" s="61" t="s">
        <v>265</v>
      </c>
      <c r="G8" s="61" t="s">
        <v>266</v>
      </c>
      <c r="H8" s="61" t="s">
        <v>267</v>
      </c>
      <c r="I8" s="61" t="s">
        <v>268</v>
      </c>
      <c r="J8" s="61" t="s">
        <v>269</v>
      </c>
      <c r="K8" s="61" t="s">
        <v>270</v>
      </c>
      <c r="L8" s="61" t="s">
        <v>271</v>
      </c>
      <c r="M8" s="61" t="s">
        <v>272</v>
      </c>
      <c r="N8" s="61" t="s">
        <v>273</v>
      </c>
      <c r="O8" s="61" t="s">
        <v>274</v>
      </c>
      <c r="P8" s="61" t="s">
        <v>275</v>
      </c>
      <c r="Q8" s="61" t="s">
        <v>276</v>
      </c>
      <c r="R8" s="61" t="s">
        <v>277</v>
      </c>
      <c r="S8" s="61" t="s">
        <v>278</v>
      </c>
      <c r="T8" s="61" t="s">
        <v>279</v>
      </c>
      <c r="U8" s="61" t="s">
        <v>280</v>
      </c>
      <c r="V8" s="61" t="s">
        <v>281</v>
      </c>
      <c r="W8" s="61" t="s">
        <v>282</v>
      </c>
      <c r="X8" s="61" t="s">
        <v>283</v>
      </c>
      <c r="Y8" s="61" t="s">
        <v>284</v>
      </c>
      <c r="Z8" s="61" t="s">
        <v>285</v>
      </c>
      <c r="AA8" s="61" t="s">
        <v>286</v>
      </c>
      <c r="AB8" s="61" t="s">
        <v>287</v>
      </c>
      <c r="AC8" s="61" t="s">
        <v>288</v>
      </c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</row>
    <row r="9" spans="1:52">
      <c r="A9" t="s">
        <v>146</v>
      </c>
      <c r="B9">
        <v>1</v>
      </c>
      <c r="C9">
        <v>1</v>
      </c>
      <c r="D9">
        <v>1</v>
      </c>
      <c r="E9" t="s">
        <v>258</v>
      </c>
      <c r="F9" s="23" t="s">
        <v>146</v>
      </c>
      <c r="G9" s="15"/>
      <c r="H9" s="15"/>
      <c r="I9" s="15"/>
      <c r="J9" s="15"/>
      <c r="K9" s="15"/>
      <c r="L9" s="15"/>
      <c r="M9" s="15"/>
      <c r="N9" s="61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AZ6"/>
  <sheetViews>
    <sheetView workbookViewId="0">
      <selection activeCell="F25" sqref="F25"/>
    </sheetView>
  </sheetViews>
  <sheetFormatPr baseColWidth="10" defaultColWidth="13" defaultRowHeight="16"/>
  <cols>
    <col min="1" max="1" width="21.5" bestFit="1" customWidth="1"/>
    <col min="6" max="6" width="22.6640625" bestFit="1" customWidth="1"/>
  </cols>
  <sheetData>
    <row r="1" spans="1:52" s="11" customFormat="1">
      <c r="A1" s="10" t="s">
        <v>42</v>
      </c>
      <c r="B1" s="10" t="s">
        <v>8</v>
      </c>
      <c r="C1" s="10" t="s">
        <v>208</v>
      </c>
      <c r="D1" s="10" t="s">
        <v>210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>
      <c r="A2" t="s">
        <v>50</v>
      </c>
      <c r="B2">
        <v>3</v>
      </c>
      <c r="C2">
        <v>1</v>
      </c>
      <c r="D2">
        <v>1</v>
      </c>
      <c r="E2" t="s">
        <v>258</v>
      </c>
      <c r="F2" s="94" t="s">
        <v>746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t="s">
        <v>66</v>
      </c>
      <c r="B3">
        <v>3</v>
      </c>
      <c r="C3">
        <v>1</v>
      </c>
      <c r="D3">
        <v>1</v>
      </c>
      <c r="E3" t="s">
        <v>258</v>
      </c>
      <c r="F3" s="61" t="s">
        <v>747</v>
      </c>
      <c r="G3" s="64" t="s">
        <v>748</v>
      </c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 ht="20">
      <c r="A4" t="s">
        <v>67</v>
      </c>
      <c r="B4">
        <v>3</v>
      </c>
      <c r="C4">
        <v>1</v>
      </c>
      <c r="D4">
        <v>1</v>
      </c>
      <c r="E4" t="s">
        <v>258</v>
      </c>
      <c r="F4" s="93" t="s">
        <v>749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>
      <c r="A5" s="15" t="s">
        <v>545</v>
      </c>
      <c r="B5">
        <v>4</v>
      </c>
      <c r="C5">
        <v>1</v>
      </c>
      <c r="D5">
        <v>1</v>
      </c>
      <c r="E5" t="s">
        <v>258</v>
      </c>
      <c r="F5" s="64" t="s">
        <v>756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>
      <c r="A6" t="s">
        <v>544</v>
      </c>
      <c r="B6" s="14" t="s">
        <v>404</v>
      </c>
      <c r="C6">
        <v>2</v>
      </c>
      <c r="D6">
        <v>2</v>
      </c>
      <c r="E6" t="s">
        <v>258</v>
      </c>
      <c r="F6" s="63" t="s">
        <v>744</v>
      </c>
      <c r="G6" s="63" t="s">
        <v>745</v>
      </c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1:AZ25"/>
  <sheetViews>
    <sheetView topLeftCell="L1" workbookViewId="0">
      <selection activeCell="X24" sqref="X24"/>
    </sheetView>
  </sheetViews>
  <sheetFormatPr baseColWidth="10" defaultColWidth="13" defaultRowHeight="16"/>
  <cols>
    <col min="2" max="3" width="5.1640625" bestFit="1" customWidth="1"/>
  </cols>
  <sheetData>
    <row r="1" spans="1:52" s="11" customFormat="1">
      <c r="A1" s="10" t="s">
        <v>42</v>
      </c>
      <c r="B1" s="10" t="s">
        <v>8</v>
      </c>
      <c r="C1" s="10" t="s">
        <v>41</v>
      </c>
      <c r="D1" s="10" t="s">
        <v>44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 ht="20">
      <c r="A2" t="s">
        <v>672</v>
      </c>
      <c r="B2">
        <v>4</v>
      </c>
      <c r="C2">
        <v>1</v>
      </c>
      <c r="D2">
        <v>1</v>
      </c>
      <c r="E2" t="s">
        <v>258</v>
      </c>
      <c r="F2" s="92" t="s">
        <v>941</v>
      </c>
      <c r="G2" s="92" t="s">
        <v>1126</v>
      </c>
      <c r="H2" s="93" t="s">
        <v>943</v>
      </c>
      <c r="I2" s="92" t="s">
        <v>944</v>
      </c>
      <c r="J2" s="92" t="s">
        <v>917</v>
      </c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 ht="20">
      <c r="A3" s="15" t="s">
        <v>214</v>
      </c>
      <c r="C3">
        <v>2</v>
      </c>
      <c r="D3">
        <v>2</v>
      </c>
      <c r="E3" t="s">
        <v>258</v>
      </c>
      <c r="F3" s="93" t="s">
        <v>908</v>
      </c>
      <c r="G3" s="93" t="s">
        <v>909</v>
      </c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 ht="20">
      <c r="A4" t="s">
        <v>136</v>
      </c>
      <c r="C4">
        <v>2</v>
      </c>
      <c r="D4">
        <v>2</v>
      </c>
      <c r="E4" t="s">
        <v>258</v>
      </c>
      <c r="F4" s="93" t="s">
        <v>908</v>
      </c>
      <c r="G4" s="93" t="s">
        <v>909</v>
      </c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 ht="20">
      <c r="A5" s="13" t="s">
        <v>221</v>
      </c>
      <c r="B5">
        <v>1</v>
      </c>
      <c r="C5">
        <v>1</v>
      </c>
      <c r="D5">
        <v>1</v>
      </c>
      <c r="E5" t="s">
        <v>258</v>
      </c>
      <c r="F5" s="93" t="s">
        <v>911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 ht="20">
      <c r="A6" t="s">
        <v>222</v>
      </c>
      <c r="B6">
        <v>1</v>
      </c>
      <c r="C6">
        <v>1</v>
      </c>
      <c r="D6">
        <v>1</v>
      </c>
      <c r="E6" t="s">
        <v>258</v>
      </c>
      <c r="F6" s="93" t="s">
        <v>912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  <row r="7" spans="1:52" ht="20">
      <c r="A7" t="s">
        <v>137</v>
      </c>
      <c r="B7">
        <v>1</v>
      </c>
      <c r="C7">
        <v>1</v>
      </c>
      <c r="D7">
        <v>1</v>
      </c>
      <c r="E7" t="s">
        <v>258</v>
      </c>
      <c r="F7" s="93" t="s">
        <v>622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</row>
    <row r="8" spans="1:52" ht="20">
      <c r="A8" t="s">
        <v>147</v>
      </c>
      <c r="B8" s="14" t="s">
        <v>148</v>
      </c>
      <c r="C8">
        <v>1</v>
      </c>
      <c r="D8">
        <v>1</v>
      </c>
      <c r="E8" t="s">
        <v>258</v>
      </c>
      <c r="F8" s="93" t="s">
        <v>916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</row>
    <row r="9" spans="1:52" ht="20">
      <c r="A9" t="s">
        <v>145</v>
      </c>
      <c r="B9">
        <v>2</v>
      </c>
      <c r="C9">
        <v>1</v>
      </c>
      <c r="D9">
        <v>1</v>
      </c>
      <c r="E9" t="s">
        <v>258</v>
      </c>
      <c r="F9" s="93" t="s">
        <v>1127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</row>
    <row r="10" spans="1:52" ht="20">
      <c r="A10" t="s">
        <v>143</v>
      </c>
      <c r="B10">
        <v>3</v>
      </c>
      <c r="C10">
        <v>1</v>
      </c>
      <c r="D10">
        <v>1</v>
      </c>
      <c r="E10" t="s">
        <v>258</v>
      </c>
      <c r="F10" s="93" t="s">
        <v>1128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</row>
    <row r="11" spans="1:52" ht="20">
      <c r="A11" t="s">
        <v>144</v>
      </c>
      <c r="B11">
        <v>3</v>
      </c>
      <c r="C11">
        <v>1</v>
      </c>
      <c r="D11">
        <v>1</v>
      </c>
      <c r="E11" t="s">
        <v>258</v>
      </c>
      <c r="F11" s="93" t="s">
        <v>1129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</row>
    <row r="12" spans="1:52" ht="20">
      <c r="A12" t="s">
        <v>218</v>
      </c>
      <c r="C12">
        <v>1</v>
      </c>
      <c r="D12">
        <v>1</v>
      </c>
      <c r="E12" t="s">
        <v>258</v>
      </c>
      <c r="F12" s="93" t="s">
        <v>1130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</row>
    <row r="13" spans="1:52" ht="20">
      <c r="A13" t="s">
        <v>138</v>
      </c>
      <c r="B13">
        <v>1</v>
      </c>
      <c r="C13">
        <v>1</v>
      </c>
      <c r="D13">
        <v>1</v>
      </c>
      <c r="E13" t="s">
        <v>258</v>
      </c>
      <c r="F13" s="93" t="s">
        <v>921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</row>
    <row r="14" spans="1:52" ht="20">
      <c r="A14" t="s">
        <v>225</v>
      </c>
      <c r="B14">
        <v>1</v>
      </c>
      <c r="C14">
        <v>1</v>
      </c>
      <c r="D14">
        <v>1</v>
      </c>
      <c r="E14" t="s">
        <v>258</v>
      </c>
      <c r="F14" s="93" t="s">
        <v>922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</row>
    <row r="15" spans="1:52" ht="20">
      <c r="A15" s="15" t="s">
        <v>223</v>
      </c>
      <c r="B15">
        <v>1</v>
      </c>
      <c r="C15">
        <v>1</v>
      </c>
      <c r="D15">
        <v>1</v>
      </c>
      <c r="E15" t="s">
        <v>258</v>
      </c>
      <c r="F15" s="93" t="s">
        <v>927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</row>
    <row r="16" spans="1:52" ht="20">
      <c r="A16" s="15" t="s">
        <v>224</v>
      </c>
      <c r="B16">
        <v>1</v>
      </c>
      <c r="C16">
        <v>1</v>
      </c>
      <c r="D16">
        <v>1</v>
      </c>
      <c r="E16" t="s">
        <v>258</v>
      </c>
      <c r="F16" s="93" t="s">
        <v>928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</row>
    <row r="17" spans="1:52">
      <c r="A17" s="15" t="s">
        <v>140</v>
      </c>
      <c r="B17">
        <v>1</v>
      </c>
      <c r="C17">
        <v>1</v>
      </c>
      <c r="D17">
        <v>1</v>
      </c>
      <c r="E17" t="s">
        <v>258</v>
      </c>
      <c r="F17" s="64" t="s">
        <v>930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</row>
    <row r="18" spans="1:52">
      <c r="A18" s="15" t="s">
        <v>226</v>
      </c>
      <c r="B18">
        <v>1</v>
      </c>
      <c r="C18">
        <v>1</v>
      </c>
      <c r="D18">
        <v>1</v>
      </c>
      <c r="E18" t="s">
        <v>258</v>
      </c>
      <c r="F18" s="64" t="s">
        <v>931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</row>
    <row r="19" spans="1:52">
      <c r="A19" t="s">
        <v>141</v>
      </c>
      <c r="B19">
        <v>2</v>
      </c>
      <c r="C19">
        <v>1</v>
      </c>
      <c r="D19">
        <v>1</v>
      </c>
      <c r="E19" t="s">
        <v>258</v>
      </c>
      <c r="F19" s="64" t="s">
        <v>933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</row>
    <row r="20" spans="1:52">
      <c r="A20" t="s">
        <v>139</v>
      </c>
      <c r="B20">
        <v>1</v>
      </c>
      <c r="C20">
        <v>1</v>
      </c>
      <c r="D20">
        <v>1</v>
      </c>
      <c r="E20" t="s">
        <v>258</v>
      </c>
      <c r="F20" s="64" t="s">
        <v>937</v>
      </c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</row>
    <row r="21" spans="1:52">
      <c r="A21" s="15" t="s">
        <v>333</v>
      </c>
      <c r="C21">
        <v>3</v>
      </c>
      <c r="D21">
        <v>3</v>
      </c>
      <c r="E21" t="s">
        <v>258</v>
      </c>
      <c r="F21" s="23" t="s">
        <v>215</v>
      </c>
      <c r="G21" s="23" t="s">
        <v>216</v>
      </c>
      <c r="H21" s="23" t="s">
        <v>217</v>
      </c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</row>
    <row r="22" spans="1:52" ht="20">
      <c r="A22" t="s">
        <v>146</v>
      </c>
      <c r="B22">
        <v>4</v>
      </c>
      <c r="C22">
        <v>1</v>
      </c>
      <c r="D22">
        <v>1</v>
      </c>
      <c r="E22" t="s">
        <v>258</v>
      </c>
      <c r="F22" s="93" t="s">
        <v>673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</row>
    <row r="23" spans="1:52">
      <c r="A23" t="s">
        <v>142</v>
      </c>
      <c r="B23">
        <v>4</v>
      </c>
      <c r="C23">
        <v>1</v>
      </c>
      <c r="D23">
        <v>1</v>
      </c>
      <c r="E23" t="s">
        <v>258</v>
      </c>
      <c r="F23" s="64" t="s">
        <v>750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</row>
    <row r="24" spans="1:52" ht="20">
      <c r="A24" t="s">
        <v>149</v>
      </c>
      <c r="C24">
        <v>3</v>
      </c>
      <c r="D24">
        <v>3</v>
      </c>
      <c r="E24" t="s">
        <v>258</v>
      </c>
      <c r="F24" s="92" t="s">
        <v>1131</v>
      </c>
      <c r="G24" s="92" t="s">
        <v>1132</v>
      </c>
      <c r="H24" s="92" t="s">
        <v>1133</v>
      </c>
      <c r="I24" s="92" t="s">
        <v>1134</v>
      </c>
      <c r="J24" s="92" t="s">
        <v>1135</v>
      </c>
      <c r="K24" s="92" t="s">
        <v>1136</v>
      </c>
      <c r="L24" s="92" t="s">
        <v>1137</v>
      </c>
      <c r="M24" s="92" t="s">
        <v>1138</v>
      </c>
      <c r="N24" s="92" t="s">
        <v>1139</v>
      </c>
      <c r="O24" s="92" t="s">
        <v>1140</v>
      </c>
      <c r="P24" s="92" t="s">
        <v>1141</v>
      </c>
      <c r="Q24" s="92" t="s">
        <v>1142</v>
      </c>
      <c r="R24" s="93" t="s">
        <v>922</v>
      </c>
      <c r="S24" s="92" t="s">
        <v>923</v>
      </c>
      <c r="T24" s="92" t="s">
        <v>1149</v>
      </c>
      <c r="U24" s="92" t="s">
        <v>1150</v>
      </c>
      <c r="V24" s="92" t="s">
        <v>1151</v>
      </c>
      <c r="W24" s="93" t="s">
        <v>938</v>
      </c>
      <c r="X24" s="93" t="s">
        <v>939</v>
      </c>
      <c r="Y24" s="92" t="s">
        <v>1143</v>
      </c>
      <c r="Z24" s="92" t="s">
        <v>1153</v>
      </c>
      <c r="AA24" s="92"/>
      <c r="AB24" s="92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</row>
    <row r="25" spans="1:52" ht="20">
      <c r="A25" t="s">
        <v>220</v>
      </c>
      <c r="B25" s="14"/>
      <c r="C25">
        <v>4</v>
      </c>
      <c r="D25">
        <v>4</v>
      </c>
      <c r="E25" t="s">
        <v>258</v>
      </c>
      <c r="F25" s="93" t="s">
        <v>914</v>
      </c>
      <c r="G25" s="93" t="s">
        <v>915</v>
      </c>
      <c r="H25" s="93" t="s">
        <v>621</v>
      </c>
      <c r="I25" s="92" t="s">
        <v>1144</v>
      </c>
      <c r="J25" s="92" t="s">
        <v>1145</v>
      </c>
      <c r="K25" s="93" t="s">
        <v>917</v>
      </c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5F9CB-9785-9C40-B560-5D59CBD5537A}">
  <sheetPr codeName="Sheet25"/>
  <dimension ref="A1:AZ22"/>
  <sheetViews>
    <sheetView workbookViewId="0">
      <selection activeCell="R8" sqref="R8"/>
    </sheetView>
  </sheetViews>
  <sheetFormatPr baseColWidth="10" defaultColWidth="13" defaultRowHeight="16"/>
  <cols>
    <col min="2" max="3" width="5.1640625" bestFit="1" customWidth="1"/>
  </cols>
  <sheetData>
    <row r="1" spans="1:52" s="11" customFormat="1">
      <c r="A1" s="10" t="s">
        <v>42</v>
      </c>
      <c r="B1" s="10" t="s">
        <v>8</v>
      </c>
      <c r="C1" s="10" t="s">
        <v>41</v>
      </c>
      <c r="D1" s="10" t="s">
        <v>44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>
      <c r="A2" t="s">
        <v>385</v>
      </c>
      <c r="B2">
        <v>2</v>
      </c>
      <c r="C2">
        <v>1</v>
      </c>
      <c r="E2" t="s">
        <v>257</v>
      </c>
      <c r="F2" s="15" t="s">
        <v>356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s="15" t="s">
        <v>386</v>
      </c>
      <c r="B3">
        <v>3</v>
      </c>
      <c r="C3">
        <v>1</v>
      </c>
      <c r="E3" t="s">
        <v>257</v>
      </c>
      <c r="F3" s="15" t="s">
        <v>387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>
      <c r="A4" t="s">
        <v>357</v>
      </c>
      <c r="B4">
        <v>1</v>
      </c>
      <c r="C4">
        <v>7</v>
      </c>
      <c r="E4" t="s">
        <v>257</v>
      </c>
      <c r="F4" s="55" t="s">
        <v>388</v>
      </c>
      <c r="G4" s="55" t="s">
        <v>389</v>
      </c>
      <c r="H4" s="55" t="s">
        <v>119</v>
      </c>
      <c r="I4" s="55" t="s">
        <v>390</v>
      </c>
      <c r="J4" s="55" t="s">
        <v>120</v>
      </c>
      <c r="K4" s="55" t="s">
        <v>391</v>
      </c>
      <c r="L4" s="55" t="s">
        <v>121</v>
      </c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>
      <c r="A5" t="s">
        <v>357</v>
      </c>
      <c r="B5">
        <v>2</v>
      </c>
      <c r="C5">
        <v>5</v>
      </c>
      <c r="E5" t="s">
        <v>257</v>
      </c>
      <c r="F5" s="45" t="s">
        <v>118</v>
      </c>
      <c r="G5" s="45" t="s">
        <v>305</v>
      </c>
      <c r="H5" s="45" t="s">
        <v>306</v>
      </c>
      <c r="I5" s="45" t="s">
        <v>307</v>
      </c>
      <c r="J5" s="45" t="s">
        <v>308</v>
      </c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>
      <c r="A6" s="13" t="s">
        <v>392</v>
      </c>
      <c r="C6">
        <v>4</v>
      </c>
      <c r="E6" t="s">
        <v>257</v>
      </c>
      <c r="F6" s="49" t="s">
        <v>260</v>
      </c>
      <c r="G6" s="49" t="s">
        <v>261</v>
      </c>
      <c r="H6" s="49" t="s">
        <v>262</v>
      </c>
      <c r="I6" s="49" t="s">
        <v>263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  <row r="7" spans="1:52">
      <c r="A7" t="s">
        <v>384</v>
      </c>
      <c r="C7">
        <v>12</v>
      </c>
      <c r="E7" t="s">
        <v>257</v>
      </c>
      <c r="F7" s="45" t="s">
        <v>309</v>
      </c>
      <c r="G7" s="45" t="s">
        <v>310</v>
      </c>
      <c r="H7" s="45" t="s">
        <v>313</v>
      </c>
      <c r="I7" s="45" t="s">
        <v>314</v>
      </c>
      <c r="J7" s="45" t="s">
        <v>315</v>
      </c>
      <c r="K7" s="45" t="s">
        <v>122</v>
      </c>
      <c r="L7" s="45" t="s">
        <v>317</v>
      </c>
      <c r="M7" s="45" t="s">
        <v>318</v>
      </c>
      <c r="N7" s="45" t="s">
        <v>319</v>
      </c>
      <c r="O7" s="45" t="s">
        <v>320</v>
      </c>
      <c r="P7" s="45" t="s">
        <v>321</v>
      </c>
      <c r="Q7" s="45" t="s">
        <v>323</v>
      </c>
      <c r="R7" s="45" t="s">
        <v>324</v>
      </c>
      <c r="S7" s="45" t="s">
        <v>325</v>
      </c>
      <c r="T7" s="45" t="s">
        <v>123</v>
      </c>
      <c r="U7" s="45" t="s">
        <v>327</v>
      </c>
      <c r="V7" s="45" t="s">
        <v>328</v>
      </c>
      <c r="W7" s="45" t="s">
        <v>311</v>
      </c>
      <c r="X7" s="45" t="s">
        <v>312</v>
      </c>
      <c r="Y7" s="45" t="s">
        <v>322</v>
      </c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</row>
    <row r="8" spans="1:52">
      <c r="A8" t="s">
        <v>393</v>
      </c>
      <c r="C8">
        <v>2</v>
      </c>
      <c r="E8" t="s">
        <v>257</v>
      </c>
      <c r="F8" s="45" t="s">
        <v>316</v>
      </c>
      <c r="G8" s="45" t="s">
        <v>326</v>
      </c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</row>
    <row r="9" spans="1:52">
      <c r="A9" t="s">
        <v>396</v>
      </c>
      <c r="C9">
        <v>2</v>
      </c>
      <c r="E9" t="s">
        <v>257</v>
      </c>
      <c r="F9" s="45" t="s">
        <v>124</v>
      </c>
      <c r="G9" s="45" t="s">
        <v>125</v>
      </c>
      <c r="H9" s="45" t="s">
        <v>329</v>
      </c>
      <c r="I9" s="45" t="s">
        <v>126</v>
      </c>
      <c r="J9" s="45" t="s">
        <v>127</v>
      </c>
      <c r="K9" s="45" t="s">
        <v>128</v>
      </c>
      <c r="L9" s="45" t="s">
        <v>330</v>
      </c>
      <c r="M9" s="45" t="s">
        <v>129</v>
      </c>
      <c r="N9" s="45" t="s">
        <v>331</v>
      </c>
      <c r="O9" s="45" t="s">
        <v>130</v>
      </c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</row>
    <row r="10" spans="1:52">
      <c r="A10" t="s">
        <v>394</v>
      </c>
      <c r="C10">
        <v>1</v>
      </c>
      <c r="E10" t="s">
        <v>257</v>
      </c>
      <c r="F10" s="55" t="s">
        <v>131</v>
      </c>
      <c r="G10" s="55" t="s">
        <v>395</v>
      </c>
      <c r="H10" s="55" t="s">
        <v>132</v>
      </c>
      <c r="I10" s="55" t="s">
        <v>133</v>
      </c>
      <c r="J10" s="55" t="s">
        <v>134</v>
      </c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</row>
    <row r="11" spans="1:52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</row>
    <row r="12" spans="1:52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</row>
    <row r="13" spans="1:52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</row>
    <row r="14" spans="1:52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</row>
    <row r="15" spans="1:52">
      <c r="A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</row>
    <row r="16" spans="1:52">
      <c r="A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</row>
    <row r="17" spans="1:52">
      <c r="A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</row>
    <row r="18" spans="1:52">
      <c r="A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</row>
    <row r="19" spans="1:52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</row>
    <row r="20" spans="1:52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</row>
    <row r="21" spans="1:52">
      <c r="A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</row>
    <row r="22" spans="1:52">
      <c r="A22" t="s">
        <v>146</v>
      </c>
      <c r="B22">
        <v>4</v>
      </c>
      <c r="C22">
        <v>1</v>
      </c>
      <c r="D22">
        <v>0</v>
      </c>
      <c r="E22" t="s">
        <v>257</v>
      </c>
      <c r="F22" s="15" t="s">
        <v>146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5B73-A76E-6643-A708-79A755EA8384}">
  <sheetPr codeName="Sheet24"/>
  <dimension ref="A1:AZ10"/>
  <sheetViews>
    <sheetView workbookViewId="0">
      <selection activeCell="I9" sqref="I9"/>
    </sheetView>
  </sheetViews>
  <sheetFormatPr baseColWidth="10" defaultColWidth="13" defaultRowHeight="16"/>
  <cols>
    <col min="2" max="3" width="5.1640625" bestFit="1" customWidth="1"/>
  </cols>
  <sheetData>
    <row r="1" spans="1:52" s="11" customFormat="1">
      <c r="A1" s="10" t="s">
        <v>42</v>
      </c>
      <c r="B1" s="10" t="s">
        <v>8</v>
      </c>
      <c r="C1" s="10" t="s">
        <v>41</v>
      </c>
      <c r="D1" s="10" t="s">
        <v>44</v>
      </c>
      <c r="E1" s="10" t="s">
        <v>43</v>
      </c>
      <c r="F1" s="11" t="s">
        <v>40</v>
      </c>
      <c r="G1" s="11" t="s">
        <v>40</v>
      </c>
      <c r="H1" s="11" t="s">
        <v>40</v>
      </c>
      <c r="I1" s="11" t="s">
        <v>40</v>
      </c>
      <c r="J1" s="11" t="s">
        <v>40</v>
      </c>
      <c r="K1" s="11" t="s">
        <v>40</v>
      </c>
      <c r="L1" s="11" t="s">
        <v>40</v>
      </c>
      <c r="M1" s="11" t="s">
        <v>40</v>
      </c>
      <c r="N1" s="11" t="s">
        <v>40</v>
      </c>
      <c r="O1" s="11" t="s">
        <v>40</v>
      </c>
      <c r="P1" s="11" t="s">
        <v>40</v>
      </c>
      <c r="Q1" s="11" t="s">
        <v>40</v>
      </c>
      <c r="R1" s="11" t="s">
        <v>40</v>
      </c>
      <c r="S1" s="11" t="s">
        <v>40</v>
      </c>
      <c r="T1" s="11" t="s">
        <v>40</v>
      </c>
      <c r="U1" s="11" t="s">
        <v>40</v>
      </c>
      <c r="V1" s="11" t="s">
        <v>40</v>
      </c>
    </row>
    <row r="2" spans="1:52">
      <c r="A2" t="s">
        <v>357</v>
      </c>
      <c r="B2">
        <v>3</v>
      </c>
      <c r="C2">
        <v>1</v>
      </c>
      <c r="D2">
        <v>1</v>
      </c>
      <c r="E2" t="s">
        <v>258</v>
      </c>
      <c r="F2" s="23" t="s">
        <v>358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s="15" t="s">
        <v>359</v>
      </c>
      <c r="B3">
        <v>1</v>
      </c>
      <c r="C3">
        <v>4</v>
      </c>
      <c r="D3">
        <v>4</v>
      </c>
      <c r="E3" t="s">
        <v>258</v>
      </c>
      <c r="F3" s="23" t="s">
        <v>360</v>
      </c>
      <c r="G3" s="23" t="s">
        <v>361</v>
      </c>
      <c r="H3" s="23" t="s">
        <v>362</v>
      </c>
      <c r="I3" s="23" t="s">
        <v>364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>
      <c r="A4" s="15" t="s">
        <v>363</v>
      </c>
      <c r="C4">
        <v>6</v>
      </c>
      <c r="D4">
        <v>6</v>
      </c>
      <c r="E4" t="s">
        <v>258</v>
      </c>
      <c r="F4" s="23" t="s">
        <v>365</v>
      </c>
      <c r="G4" s="23" t="s">
        <v>366</v>
      </c>
      <c r="H4" s="23" t="s">
        <v>367</v>
      </c>
      <c r="I4" s="23" t="s">
        <v>368</v>
      </c>
      <c r="J4" s="23" t="s">
        <v>369</v>
      </c>
      <c r="K4" s="23" t="s">
        <v>370</v>
      </c>
      <c r="L4" s="15" t="s">
        <v>371</v>
      </c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  <row r="5" spans="1:52">
      <c r="A5" t="s">
        <v>357</v>
      </c>
      <c r="B5">
        <v>3</v>
      </c>
      <c r="C5">
        <v>1</v>
      </c>
      <c r="D5">
        <v>1</v>
      </c>
      <c r="E5" t="s">
        <v>258</v>
      </c>
      <c r="F5" s="23" t="s">
        <v>399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</row>
    <row r="6" spans="1:52">
      <c r="A6" t="s">
        <v>376</v>
      </c>
      <c r="C6">
        <v>4</v>
      </c>
      <c r="D6">
        <v>4</v>
      </c>
      <c r="E6" t="s">
        <v>258</v>
      </c>
      <c r="F6" s="23" t="s">
        <v>372</v>
      </c>
      <c r="G6" s="23" t="s">
        <v>373</v>
      </c>
      <c r="H6" s="23" t="s">
        <v>374</v>
      </c>
      <c r="I6" s="23" t="s">
        <v>375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</row>
    <row r="7" spans="1:52">
      <c r="A7" t="s">
        <v>377</v>
      </c>
      <c r="B7">
        <v>3</v>
      </c>
      <c r="C7">
        <v>1</v>
      </c>
      <c r="D7">
        <v>1</v>
      </c>
      <c r="E7" t="s">
        <v>258</v>
      </c>
      <c r="F7" s="23" t="s">
        <v>400</v>
      </c>
      <c r="G7" s="15" t="s">
        <v>96</v>
      </c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</row>
    <row r="8" spans="1:52">
      <c r="A8" t="s">
        <v>384</v>
      </c>
      <c r="C8">
        <v>6</v>
      </c>
      <c r="D8">
        <v>6</v>
      </c>
      <c r="E8" t="s">
        <v>258</v>
      </c>
      <c r="F8" s="23" t="s">
        <v>378</v>
      </c>
      <c r="G8" s="23" t="s">
        <v>379</v>
      </c>
      <c r="H8" s="23" t="s">
        <v>380</v>
      </c>
      <c r="I8" s="23" t="s">
        <v>401</v>
      </c>
      <c r="J8" s="23" t="s">
        <v>381</v>
      </c>
      <c r="K8" s="23" t="s">
        <v>382</v>
      </c>
      <c r="L8" s="15" t="s">
        <v>383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</row>
    <row r="9" spans="1:52">
      <c r="A9" t="s">
        <v>384</v>
      </c>
      <c r="C9">
        <v>8</v>
      </c>
      <c r="D9">
        <v>8</v>
      </c>
      <c r="E9" t="s">
        <v>258</v>
      </c>
      <c r="F9" s="69" t="s">
        <v>289</v>
      </c>
      <c r="G9" s="69" t="s">
        <v>99</v>
      </c>
      <c r="H9" s="69" t="s">
        <v>290</v>
      </c>
      <c r="I9" s="69" t="s">
        <v>291</v>
      </c>
      <c r="J9" s="68" t="s">
        <v>292</v>
      </c>
      <c r="K9" s="68" t="s">
        <v>293</v>
      </c>
      <c r="L9" s="68" t="s">
        <v>294</v>
      </c>
      <c r="M9" s="68" t="s">
        <v>295</v>
      </c>
      <c r="N9" s="68" t="s">
        <v>296</v>
      </c>
      <c r="O9" s="68" t="s">
        <v>297</v>
      </c>
      <c r="P9" s="68" t="s">
        <v>298</v>
      </c>
      <c r="Q9" s="68" t="s">
        <v>98</v>
      </c>
      <c r="R9" s="69" t="s">
        <v>299</v>
      </c>
      <c r="S9" s="69" t="s">
        <v>100</v>
      </c>
      <c r="T9" s="69" t="s">
        <v>101</v>
      </c>
      <c r="U9" s="69" t="s">
        <v>102</v>
      </c>
      <c r="V9" s="68" t="s">
        <v>300</v>
      </c>
      <c r="W9" s="68" t="s">
        <v>103</v>
      </c>
      <c r="X9" s="68" t="s">
        <v>104</v>
      </c>
      <c r="Y9" s="68" t="s">
        <v>105</v>
      </c>
      <c r="Z9" s="68" t="s">
        <v>301</v>
      </c>
      <c r="AA9" s="68" t="s">
        <v>106</v>
      </c>
      <c r="AB9" s="68" t="s">
        <v>107</v>
      </c>
      <c r="AC9" s="68" t="s">
        <v>108</v>
      </c>
      <c r="AD9" s="68" t="s">
        <v>302</v>
      </c>
      <c r="AE9" s="68" t="s">
        <v>109</v>
      </c>
      <c r="AF9" s="68" t="s">
        <v>110</v>
      </c>
      <c r="AG9" s="68" t="s">
        <v>111</v>
      </c>
      <c r="AH9" s="68" t="s">
        <v>303</v>
      </c>
      <c r="AI9" s="68" t="s">
        <v>112</v>
      </c>
      <c r="AJ9" s="68" t="s">
        <v>113</v>
      </c>
      <c r="AK9" s="68" t="s">
        <v>114</v>
      </c>
      <c r="AL9" s="68" t="s">
        <v>304</v>
      </c>
      <c r="AM9" s="68" t="s">
        <v>115</v>
      </c>
      <c r="AN9" s="68" t="s">
        <v>116</v>
      </c>
      <c r="AO9" s="68" t="s">
        <v>117</v>
      </c>
      <c r="AP9" s="68" t="s">
        <v>407</v>
      </c>
      <c r="AQ9" s="68" t="s">
        <v>408</v>
      </c>
      <c r="AR9" s="68" t="s">
        <v>409</v>
      </c>
      <c r="AS9" s="68" t="s">
        <v>410</v>
      </c>
      <c r="AT9" s="15"/>
      <c r="AU9" s="15"/>
      <c r="AV9" s="15"/>
      <c r="AW9" s="15"/>
      <c r="AX9" s="15"/>
      <c r="AY9" s="15"/>
      <c r="AZ9" s="15"/>
    </row>
    <row r="10" spans="1:52">
      <c r="A10" t="s">
        <v>146</v>
      </c>
      <c r="C10">
        <v>1</v>
      </c>
      <c r="D10">
        <v>1</v>
      </c>
      <c r="E10" t="s">
        <v>258</v>
      </c>
      <c r="F10" s="23" t="s">
        <v>146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C308-C664-884E-87A3-1E1B2050D653}">
  <sheetPr codeName="Sheet4"/>
  <dimension ref="A1:AZ4"/>
  <sheetViews>
    <sheetView workbookViewId="0">
      <selection activeCell="E23" sqref="E23"/>
    </sheetView>
  </sheetViews>
  <sheetFormatPr baseColWidth="10" defaultColWidth="11" defaultRowHeight="16"/>
  <cols>
    <col min="1" max="1" width="27.6640625" bestFit="1" customWidth="1"/>
  </cols>
  <sheetData>
    <row r="1" spans="1:52">
      <c r="A1" s="10" t="s">
        <v>42</v>
      </c>
      <c r="B1" s="10" t="s">
        <v>8</v>
      </c>
      <c r="C1" s="10" t="s">
        <v>41</v>
      </c>
      <c r="D1" s="10" t="s">
        <v>44</v>
      </c>
      <c r="E1" s="10" t="s">
        <v>43</v>
      </c>
      <c r="F1" s="11" t="s">
        <v>40</v>
      </c>
    </row>
    <row r="2" spans="1:52">
      <c r="A2" t="s">
        <v>251</v>
      </c>
      <c r="C2">
        <v>2</v>
      </c>
      <c r="D2">
        <v>0</v>
      </c>
      <c r="E2" t="s">
        <v>257</v>
      </c>
      <c r="F2" s="91" t="s">
        <v>671</v>
      </c>
      <c r="G2" s="91" t="s">
        <v>670</v>
      </c>
      <c r="H2" s="91" t="s">
        <v>669</v>
      </c>
      <c r="I2" s="91" t="s">
        <v>668</v>
      </c>
      <c r="J2" s="91" t="s">
        <v>667</v>
      </c>
      <c r="K2" s="61" t="s">
        <v>666</v>
      </c>
      <c r="L2" s="61" t="s">
        <v>674</v>
      </c>
      <c r="M2" s="91" t="s">
        <v>677</v>
      </c>
      <c r="N2" s="91" t="s">
        <v>678</v>
      </c>
      <c r="O2" s="91" t="s">
        <v>679</v>
      </c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</row>
    <row r="3" spans="1:52">
      <c r="A3" s="15" t="s">
        <v>252</v>
      </c>
      <c r="C3">
        <v>6</v>
      </c>
      <c r="D3">
        <v>2</v>
      </c>
      <c r="E3" t="s">
        <v>257</v>
      </c>
      <c r="F3" s="64" t="s">
        <v>680</v>
      </c>
      <c r="G3" s="91" t="s">
        <v>681</v>
      </c>
      <c r="H3" s="63" t="s">
        <v>682</v>
      </c>
      <c r="I3" s="91" t="s">
        <v>684</v>
      </c>
      <c r="J3" s="91" t="s">
        <v>685</v>
      </c>
      <c r="K3" s="91" t="s">
        <v>686</v>
      </c>
      <c r="L3" s="91" t="s">
        <v>687</v>
      </c>
      <c r="M3" s="91" t="s">
        <v>688</v>
      </c>
      <c r="N3" s="91" t="s">
        <v>689</v>
      </c>
      <c r="O3" s="91" t="s">
        <v>690</v>
      </c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</row>
    <row r="4" spans="1:52">
      <c r="A4" t="s">
        <v>250</v>
      </c>
      <c r="C4">
        <v>2</v>
      </c>
      <c r="D4">
        <v>0</v>
      </c>
      <c r="E4" t="s">
        <v>257</v>
      </c>
      <c r="F4" s="91" t="s">
        <v>686</v>
      </c>
      <c r="G4" s="91" t="s">
        <v>687</v>
      </c>
      <c r="H4" s="15"/>
      <c r="I4" s="91" t="s">
        <v>689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</row>
  </sheetData>
  <phoneticPr fontId="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1"/>
  <dimension ref="A1:Z22"/>
  <sheetViews>
    <sheetView workbookViewId="0">
      <selection activeCell="F9" sqref="F9"/>
    </sheetView>
  </sheetViews>
  <sheetFormatPr baseColWidth="10" defaultColWidth="8.83203125" defaultRowHeight="16"/>
  <cols>
    <col min="3" max="3" width="10.83203125" bestFit="1" customWidth="1"/>
    <col min="4" max="4" width="26" bestFit="1" customWidth="1"/>
    <col min="13" max="14" width="0" hidden="1" customWidth="1"/>
  </cols>
  <sheetData>
    <row r="1" spans="1:26" ht="37" customHeight="1">
      <c r="A1" s="108" t="s">
        <v>153</v>
      </c>
      <c r="B1" s="108"/>
      <c r="C1" s="5" t="s">
        <v>0</v>
      </c>
      <c r="D1" s="5" t="s">
        <v>1</v>
      </c>
      <c r="E1" s="5" t="s">
        <v>152</v>
      </c>
      <c r="F1" s="5" t="s">
        <v>6</v>
      </c>
      <c r="G1" s="5" t="s">
        <v>2</v>
      </c>
      <c r="H1" s="5" t="s">
        <v>3</v>
      </c>
      <c r="I1" s="5" t="s">
        <v>4</v>
      </c>
      <c r="J1" s="5" t="s">
        <v>5</v>
      </c>
      <c r="K1" s="108" t="s">
        <v>154</v>
      </c>
      <c r="L1" s="108"/>
      <c r="M1" s="108"/>
      <c r="N1" s="108"/>
    </row>
    <row r="2" spans="1:26">
      <c r="A2">
        <v>1</v>
      </c>
      <c r="B2" t="s">
        <v>47</v>
      </c>
      <c r="C2" s="12">
        <v>37002</v>
      </c>
      <c r="D2" t="str">
        <f>IF($C2&lt;&gt;"",VLOOKUP($C2,授業リスト!$A:$J,2,FALSE),"")</f>
        <v>Civics</v>
      </c>
      <c r="E2" t="str">
        <f>IF($C2&lt;&gt;"",VLOOKUP($C2,授業リスト!$A:$J,3,FALSE),"")</f>
        <v>BCD</v>
      </c>
      <c r="F2" t="str">
        <f>IF($C2&lt;&gt;"",VLOOKUP($C2,授業リスト!$A:$J,8,FALSE),"")</f>
        <v>Marie Curie</v>
      </c>
      <c r="G2">
        <f>IF($C2&lt;&gt;"",VLOOKUP($C2,授業リスト!$A:$J,4,FALSE),"")</f>
        <v>2</v>
      </c>
      <c r="H2" t="str">
        <f>IF($C2&lt;&gt;"",VLOOKUP($C2,授業リスト!$A:$J,5,FALSE),"")</f>
        <v>後</v>
      </c>
      <c r="I2" t="str">
        <f>IF($C2&lt;&gt;"",VLOOKUP($C2,授業リスト!$A:$J,6,FALSE),"")</f>
        <v>金</v>
      </c>
      <c r="J2">
        <f>IF($C2&lt;&gt;"",VLOOKUP($C2,授業リスト!$A:$J,7,FALSE),"")</f>
        <v>3</v>
      </c>
      <c r="K2" s="30">
        <f>IF($C2&lt;&gt;"",VLOOKUP($C2,授業リスト!$A:$J,9,FALSE),"")</f>
        <v>2</v>
      </c>
      <c r="L2" t="s">
        <v>45</v>
      </c>
      <c r="N2" t="str">
        <f>IF($C2&lt;&gt;"",VLOOKUP($C2,授業リスト!$A:$Z,COLUMN(),FALSE),"")</f>
        <v>Y</v>
      </c>
      <c r="O2" t="str">
        <f>IF($C2&lt;&gt;"",VLOOKUP($C2,授業リスト!$A:$Z,COLUMN(),FALSE),"")</f>
        <v/>
      </c>
      <c r="P2" t="str">
        <f>IF($C2&lt;&gt;"",VLOOKUP($C2,授業リスト!$A:$Z,COLUMN(),FALSE),"")</f>
        <v/>
      </c>
      <c r="Q2" t="str">
        <f>IF($C2&lt;&gt;"",VLOOKUP($C2,授業リスト!$A:$Z,COLUMN(),FALSE),"")</f>
        <v/>
      </c>
      <c r="R2" t="str">
        <f>IF($C2&lt;&gt;"",VLOOKUP($C2,授業リスト!$A:$Z,COLUMN(),FALSE),"")</f>
        <v/>
      </c>
      <c r="S2" t="str">
        <f>IF($C2&lt;&gt;"",VLOOKUP($C2,授業リスト!$A:$Z,COLUMN(),FALSE),"")</f>
        <v/>
      </c>
      <c r="T2" t="str">
        <f>IF($C2&lt;&gt;"",VLOOKUP($C2,授業リスト!$A:$Z,COLUMN(),FALSE),"")</f>
        <v/>
      </c>
      <c r="U2" t="str">
        <f>IF($C2&lt;&gt;"",VLOOKUP($C2,授業リスト!$A:$Z,COLUMN(),FALSE),"")</f>
        <v/>
      </c>
      <c r="V2" t="str">
        <f>IF($C2&lt;&gt;"",VLOOKUP($C2,授業リスト!$A:$Z,COLUMN(),FALSE),"")</f>
        <v/>
      </c>
      <c r="W2">
        <f>IF($C2&lt;&gt;"",VLOOKUP($C2,授業リスト!$A:$Z,COLUMN(),FALSE),"")</f>
        <v>0</v>
      </c>
      <c r="X2">
        <f>IF($C2&lt;&gt;"",VLOOKUP($C2,授業リスト!$A:$Z,COLUMN(),FALSE),"")</f>
        <v>0</v>
      </c>
      <c r="Y2">
        <f>IF($C2&lt;&gt;"",VLOOKUP($C2,授業リスト!$A:$Z,COLUMN(),FALSE),"")</f>
        <v>0</v>
      </c>
      <c r="Z2">
        <f>IF($C2&lt;&gt;"",VLOOKUP($C2,授業リスト!$A:$Z,COLUMN(),FALSE),"")</f>
        <v>0</v>
      </c>
    </row>
    <row r="3" spans="1:26">
      <c r="A3">
        <v>1</v>
      </c>
      <c r="B3" t="s">
        <v>47</v>
      </c>
      <c r="C3" s="12">
        <v>37104</v>
      </c>
      <c r="D3" t="str">
        <f>IF($C3&lt;&gt;"",VLOOKUP($C3,授業リスト!$A:$J,2,FALSE),"")</f>
        <v>Gen Ed Social Sciences</v>
      </c>
      <c r="E3" t="str">
        <f>IF($C3&lt;&gt;"",VLOOKUP($C3,授業リスト!$A:$J,3,FALSE),"")</f>
        <v>World Politics</v>
      </c>
      <c r="F3" t="str">
        <f>IF($C3&lt;&gt;"",VLOOKUP($C3,授業リスト!$A:$J,8,FALSE),"")</f>
        <v>Robert Frost</v>
      </c>
      <c r="G3">
        <f>IF($C3&lt;&gt;"",VLOOKUP($C3,授業リスト!$A:$J,4,FALSE),"")</f>
        <v>2</v>
      </c>
      <c r="H3" t="str">
        <f>IF($C3&lt;&gt;"",VLOOKUP($C3,授業リスト!$A:$J,5,FALSE),"")</f>
        <v>前</v>
      </c>
      <c r="I3" t="str">
        <f>IF($C3&lt;&gt;"",VLOOKUP($C3,授業リスト!$A:$J,6,FALSE),"")</f>
        <v>火</v>
      </c>
      <c r="J3">
        <f>IF($C3&lt;&gt;"",VLOOKUP($C3,授業リスト!$A:$J,7,FALSE),"")</f>
        <v>1</v>
      </c>
      <c r="K3" s="30" t="str">
        <f>IF($C3&lt;&gt;"",VLOOKUP($C3,授業リスト!$A:$J,9,FALSE),"")</f>
        <v>1～2</v>
      </c>
      <c r="L3" t="s">
        <v>151</v>
      </c>
      <c r="N3" t="str">
        <f>IF($C3&lt;&gt;"",VLOOKUP($C3,授業リスト!$A:$Z,COLUMN(),FALSE),"")</f>
        <v>Y</v>
      </c>
      <c r="O3" t="str">
        <f>IF($C3&lt;&gt;"",VLOOKUP($C3,授業リスト!$A:$Z,COLUMN(),FALSE),"")</f>
        <v/>
      </c>
      <c r="P3" t="str">
        <f>IF($C3&lt;&gt;"",VLOOKUP($C3,授業リスト!$A:$Z,COLUMN(),FALSE),"")</f>
        <v/>
      </c>
      <c r="Q3" t="str">
        <f>IF($C3&lt;&gt;"",VLOOKUP($C3,授業リスト!$A:$Z,COLUMN(),FALSE),"")</f>
        <v/>
      </c>
      <c r="R3" t="str">
        <f>IF($C3&lt;&gt;"",VLOOKUP($C3,授業リスト!$A:$Z,COLUMN(),FALSE),"")</f>
        <v/>
      </c>
      <c r="S3" t="str">
        <f>IF($C3&lt;&gt;"",VLOOKUP($C3,授業リスト!$A:$Z,COLUMN(),FALSE),"")</f>
        <v/>
      </c>
      <c r="T3" t="str">
        <f>IF($C3&lt;&gt;"",VLOOKUP($C3,授業リスト!$A:$Z,COLUMN(),FALSE),"")</f>
        <v/>
      </c>
      <c r="U3" t="str">
        <f>IF($C3&lt;&gt;"",VLOOKUP($C3,授業リスト!$A:$Z,COLUMN(),FALSE),"")</f>
        <v/>
      </c>
      <c r="V3" t="str">
        <f>IF($C3&lt;&gt;"",VLOOKUP($C3,授業リスト!$A:$Z,COLUMN(),FALSE),"")</f>
        <v/>
      </c>
      <c r="W3">
        <f>IF($C3&lt;&gt;"",VLOOKUP($C3,授業リスト!$A:$Z,COLUMN(),FALSE),"")</f>
        <v>0</v>
      </c>
      <c r="X3">
        <f>IF($C3&lt;&gt;"",VLOOKUP($C3,授業リスト!$A:$Z,COLUMN(),FALSE),"")</f>
        <v>0</v>
      </c>
      <c r="Y3">
        <f>IF($C3&lt;&gt;"",VLOOKUP($C3,授業リスト!$A:$Z,COLUMN(),FALSE),"")</f>
        <v>0</v>
      </c>
      <c r="Z3">
        <f>IF($C3&lt;&gt;"",VLOOKUP($C3,授業リスト!$A:$Z,COLUMN(),FALSE),"")</f>
        <v>0</v>
      </c>
    </row>
    <row r="4" spans="1:26">
      <c r="A4">
        <v>1</v>
      </c>
      <c r="B4" t="s">
        <v>47</v>
      </c>
      <c r="C4" s="12">
        <v>37107</v>
      </c>
      <c r="D4" t="str">
        <f>IF($C4&lt;&gt;"",VLOOKUP($C4,授業リスト!$A:$J,2,FALSE),"")</f>
        <v>Gen Ed Sciences</v>
      </c>
      <c r="E4" t="str">
        <f>IF($C4&lt;&gt;"",VLOOKUP($C4,授業リスト!$A:$J,3,FALSE),"")</f>
        <v>Physics</v>
      </c>
      <c r="F4" t="str">
        <f>IF($C4&lt;&gt;"",VLOOKUP($C4,授業リスト!$A:$J,8,FALSE),"")</f>
        <v>Albert Einstein</v>
      </c>
      <c r="G4">
        <f>IF($C4&lt;&gt;"",VLOOKUP($C4,授業リスト!$A:$J,4,FALSE),"")</f>
        <v>2</v>
      </c>
      <c r="H4" t="str">
        <f>IF($C4&lt;&gt;"",VLOOKUP($C4,授業リスト!$A:$J,5,FALSE),"")</f>
        <v>後</v>
      </c>
      <c r="I4" t="str">
        <f>IF($C4&lt;&gt;"",VLOOKUP($C4,授業リスト!$A:$J,6,FALSE),"")</f>
        <v>木</v>
      </c>
      <c r="J4">
        <f>IF($C4&lt;&gt;"",VLOOKUP($C4,授業リスト!$A:$J,7,FALSE),"")</f>
        <v>1</v>
      </c>
      <c r="K4" s="30" t="str">
        <f>IF($C4&lt;&gt;"",VLOOKUP($C4,授業リスト!$A:$J,9,FALSE),"")</f>
        <v>1～2</v>
      </c>
      <c r="L4" t="s">
        <v>151</v>
      </c>
      <c r="N4" t="str">
        <f>IF($C4&lt;&gt;"",VLOOKUP($C4,授業リスト!$A:$Z,COLUMN(),FALSE),"")</f>
        <v>Y</v>
      </c>
      <c r="O4" t="str">
        <f>IF($C4&lt;&gt;"",VLOOKUP($C4,授業リスト!$A:$Z,COLUMN(),FALSE),"")</f>
        <v/>
      </c>
      <c r="P4" t="str">
        <f>IF($C4&lt;&gt;"",VLOOKUP($C4,授業リスト!$A:$Z,COLUMN(),FALSE),"")</f>
        <v/>
      </c>
      <c r="Q4" t="str">
        <f>IF($C4&lt;&gt;"",VLOOKUP($C4,授業リスト!$A:$Z,COLUMN(),FALSE),"")</f>
        <v/>
      </c>
      <c r="R4" t="str">
        <f>IF($C4&lt;&gt;"",VLOOKUP($C4,授業リスト!$A:$Z,COLUMN(),FALSE),"")</f>
        <v/>
      </c>
      <c r="S4" t="str">
        <f>IF($C4&lt;&gt;"",VLOOKUP($C4,授業リスト!$A:$Z,COLUMN(),FALSE),"")</f>
        <v/>
      </c>
      <c r="T4" t="str">
        <f>IF($C4&lt;&gt;"",VLOOKUP($C4,授業リスト!$A:$Z,COLUMN(),FALSE),"")</f>
        <v/>
      </c>
      <c r="U4" t="str">
        <f>IF($C4&lt;&gt;"",VLOOKUP($C4,授業リスト!$A:$Z,COLUMN(),FALSE),"")</f>
        <v/>
      </c>
      <c r="V4" t="str">
        <f>IF($C4&lt;&gt;"",VLOOKUP($C4,授業リスト!$A:$Z,COLUMN(),FALSE),"")</f>
        <v/>
      </c>
      <c r="W4">
        <f>IF($C4&lt;&gt;"",VLOOKUP($C4,授業リスト!$A:$Z,COLUMN(),FALSE),"")</f>
        <v>0</v>
      </c>
      <c r="X4">
        <f>IF($C4&lt;&gt;"",VLOOKUP($C4,授業リスト!$A:$Z,COLUMN(),FALSE),"")</f>
        <v>0</v>
      </c>
      <c r="Y4">
        <f>IF($C4&lt;&gt;"",VLOOKUP($C4,授業リスト!$A:$Z,COLUMN(),FALSE),"")</f>
        <v>0</v>
      </c>
      <c r="Z4">
        <f>IF($C4&lt;&gt;"",VLOOKUP($C4,授業リスト!$A:$Z,COLUMN(),FALSE),"")</f>
        <v>0</v>
      </c>
    </row>
    <row r="5" spans="1:26">
      <c r="A5">
        <v>1</v>
      </c>
      <c r="B5" t="s">
        <v>47</v>
      </c>
      <c r="C5" s="12">
        <v>38072</v>
      </c>
      <c r="D5" t="str">
        <f>IF($C5&lt;&gt;"",VLOOKUP($C5,授業リスト!$A:$J,2,FALSE),"")</f>
        <v>Teaching Methodologies for
English-mediated Instruction</v>
      </c>
      <c r="E5">
        <f>IF($C5&lt;&gt;"",VLOOKUP($C5,授業リスト!$A:$J,3,FALSE),"")</f>
        <v>0</v>
      </c>
      <c r="F5" t="str">
        <f>IF($C5&lt;&gt;"",VLOOKUP($C5,授業リスト!$A:$J,8,FALSE),"")</f>
        <v>Henry Ford</v>
      </c>
      <c r="G5">
        <f>IF($C5&lt;&gt;"",VLOOKUP($C5,授業リスト!$A:$J,4,FALSE),"")</f>
        <v>2</v>
      </c>
      <c r="H5" t="str">
        <f>IF($C5&lt;&gt;"",VLOOKUP($C5,授業リスト!$A:$J,5,FALSE),"")</f>
        <v>後</v>
      </c>
      <c r="I5" t="str">
        <f>IF($C5&lt;&gt;"",VLOOKUP($C5,授業リスト!$A:$J,6,FALSE),"")</f>
        <v>火</v>
      </c>
      <c r="J5">
        <f>IF($C5&lt;&gt;"",VLOOKUP($C5,授業リスト!$A:$J,7,FALSE),"")</f>
        <v>2</v>
      </c>
      <c r="K5" s="30" t="str">
        <f>IF($C5&lt;&gt;"",VLOOKUP($C5,授業リスト!$A:$J,9,FALSE),"")</f>
        <v>2～4</v>
      </c>
      <c r="L5" t="s">
        <v>45</v>
      </c>
      <c r="N5" t="str">
        <f>IF($C5&lt;&gt;"",VLOOKUP($C5,授業リスト!$A:$Z,COLUMN(),FALSE),"")</f>
        <v/>
      </c>
      <c r="O5" t="str">
        <f>IF($C5&lt;&gt;"",VLOOKUP($C5,授業リスト!$A:$Z,COLUMN(),FALSE),"")</f>
        <v/>
      </c>
      <c r="P5" t="str">
        <f>IF($C5&lt;&gt;"",VLOOKUP($C5,授業リスト!$A:$Z,COLUMN(),FALSE),"")</f>
        <v/>
      </c>
      <c r="Q5" t="str">
        <f>IF($C5&lt;&gt;"",VLOOKUP($C5,授業リスト!$A:$Z,COLUMN(),FALSE),"")</f>
        <v/>
      </c>
      <c r="R5" t="str">
        <f>IF($C5&lt;&gt;"",VLOOKUP($C5,授業リスト!$A:$Z,COLUMN(),FALSE),"")</f>
        <v/>
      </c>
      <c r="S5" t="str">
        <f>IF($C5&lt;&gt;"",VLOOKUP($C5,授業リスト!$A:$Z,COLUMN(),FALSE),"")</f>
        <v/>
      </c>
      <c r="T5" t="str">
        <f>IF($C5&lt;&gt;"",VLOOKUP($C5,授業リスト!$A:$Z,COLUMN(),FALSE),"")</f>
        <v/>
      </c>
      <c r="U5" t="str">
        <f>IF($C5&lt;&gt;"",VLOOKUP($C5,授業リスト!$A:$Z,COLUMN(),FALSE),"")</f>
        <v/>
      </c>
      <c r="V5" t="str">
        <f>IF($C5&lt;&gt;"",VLOOKUP($C5,授業リスト!$A:$Z,COLUMN(),FALSE),"")</f>
        <v/>
      </c>
      <c r="W5">
        <f>IF($C5&lt;&gt;"",VLOOKUP($C5,授業リスト!$A:$Z,COLUMN(),FALSE),"")</f>
        <v>0</v>
      </c>
      <c r="X5">
        <f>IF($C5&lt;&gt;"",VLOOKUP($C5,授業リスト!$A:$Z,COLUMN(),FALSE),"")</f>
        <v>0</v>
      </c>
      <c r="Y5">
        <f>IF($C5&lt;&gt;"",VLOOKUP($C5,授業リスト!$A:$Z,COLUMN(),FALSE),"")</f>
        <v>0</v>
      </c>
      <c r="Z5">
        <f>IF($C5&lt;&gt;"",VLOOKUP($C5,授業リスト!$A:$Z,COLUMN(),FALSE),"")</f>
        <v>0</v>
      </c>
    </row>
    <row r="6" spans="1:26">
      <c r="A6" s="37">
        <v>1</v>
      </c>
      <c r="B6" s="37" t="s">
        <v>69</v>
      </c>
      <c r="C6" s="39">
        <v>37261</v>
      </c>
      <c r="D6" s="37" t="e">
        <f>IF($C6&lt;&gt;"",VLOOKUP($C6,授業リスト!$A:$J,2,FALSE),"")</f>
        <v>#N/A</v>
      </c>
      <c r="E6" s="37" t="e">
        <f>IF($C6&lt;&gt;"",VLOOKUP($C6,授業リスト!$A:$J,3,FALSE),"")</f>
        <v>#N/A</v>
      </c>
      <c r="F6" s="37" t="e">
        <f>IF($C6&lt;&gt;"",VLOOKUP($C6,授業リスト!$A:$J,8,FALSE),"")</f>
        <v>#N/A</v>
      </c>
      <c r="G6" s="37" t="e">
        <f>IF($C6&lt;&gt;"",VLOOKUP($C6,授業リスト!$A:$J,4,FALSE),"")</f>
        <v>#N/A</v>
      </c>
      <c r="H6" s="37" t="e">
        <f>IF($C6&lt;&gt;"",VLOOKUP($C6,授業リスト!$A:$J,5,FALSE),"")</f>
        <v>#N/A</v>
      </c>
      <c r="I6" s="37" t="e">
        <f>IF($C6&lt;&gt;"",VLOOKUP($C6,授業リスト!$A:$J,6,FALSE),"")</f>
        <v>#N/A</v>
      </c>
      <c r="J6" s="37" t="e">
        <f>IF($C6&lt;&gt;"",VLOOKUP($C6,授業リスト!$A:$J,7,FALSE),"")</f>
        <v>#N/A</v>
      </c>
      <c r="K6" s="38" t="e">
        <f>IF($C6&lt;&gt;"",VLOOKUP($C6,授業リスト!$A:$J,9,FALSE),"")</f>
        <v>#N/A</v>
      </c>
      <c r="L6" t="s">
        <v>45</v>
      </c>
      <c r="N6" t="e">
        <f>IF($C6&lt;&gt;"",VLOOKUP($C6,授業リスト!$A:$Z,COLUMN(),FALSE),"")</f>
        <v>#N/A</v>
      </c>
      <c r="O6" t="e">
        <f>IF($C6&lt;&gt;"",VLOOKUP($C6,授業リスト!$A:$Z,COLUMN(),FALSE),"")</f>
        <v>#N/A</v>
      </c>
      <c r="P6" t="e">
        <f>IF($C6&lt;&gt;"",VLOOKUP($C6,授業リスト!$A:$Z,COLUMN(),FALSE),"")</f>
        <v>#N/A</v>
      </c>
      <c r="Q6" t="e">
        <f>IF($C6&lt;&gt;"",VLOOKUP($C6,授業リスト!$A:$Z,COLUMN(),FALSE),"")</f>
        <v>#N/A</v>
      </c>
      <c r="R6" t="e">
        <f>IF($C6&lt;&gt;"",VLOOKUP($C6,授業リスト!$A:$Z,COLUMN(),FALSE),"")</f>
        <v>#N/A</v>
      </c>
      <c r="S6" t="e">
        <f>IF($C6&lt;&gt;"",VLOOKUP($C6,授業リスト!$A:$Z,COLUMN(),FALSE),"")</f>
        <v>#N/A</v>
      </c>
      <c r="T6" t="e">
        <f>IF($C6&lt;&gt;"",VLOOKUP($C6,授業リスト!$A:$Z,COLUMN(),FALSE),"")</f>
        <v>#N/A</v>
      </c>
      <c r="U6" t="e">
        <f>IF($C6&lt;&gt;"",VLOOKUP($C6,授業リスト!$A:$Z,COLUMN(),FALSE),"")</f>
        <v>#N/A</v>
      </c>
      <c r="V6" t="e">
        <f>IF($C6&lt;&gt;"",VLOOKUP($C6,授業リスト!$A:$Z,COLUMN(),FALSE),"")</f>
        <v>#N/A</v>
      </c>
      <c r="W6" t="e">
        <f>IF($C6&lt;&gt;"",VLOOKUP($C6,授業リスト!$A:$Z,COLUMN(),FALSE),"")</f>
        <v>#N/A</v>
      </c>
      <c r="X6" t="e">
        <f>IF($C6&lt;&gt;"",VLOOKUP($C6,授業リスト!$A:$Z,COLUMN(),FALSE),"")</f>
        <v>#N/A</v>
      </c>
      <c r="Y6" t="e">
        <f>IF($C6&lt;&gt;"",VLOOKUP($C6,授業リスト!$A:$Z,COLUMN(),FALSE),"")</f>
        <v>#N/A</v>
      </c>
      <c r="Z6" t="e">
        <f>IF($C6&lt;&gt;"",VLOOKUP($C6,授業リスト!$A:$Z,COLUMN(),FALSE),"")</f>
        <v>#N/A</v>
      </c>
    </row>
    <row r="7" spans="1:26">
      <c r="A7" s="37">
        <v>1</v>
      </c>
      <c r="B7" s="37" t="s">
        <v>69</v>
      </c>
      <c r="C7" s="39">
        <v>37261</v>
      </c>
      <c r="D7" s="37" t="e">
        <f>IF($C7&lt;&gt;"",VLOOKUP($C7,授業リスト!$A:$J,2,FALSE),"")</f>
        <v>#N/A</v>
      </c>
      <c r="E7" s="37" t="e">
        <f>IF($C7&lt;&gt;"",VLOOKUP($C7,授業リスト!$A:$J,3,FALSE),"")</f>
        <v>#N/A</v>
      </c>
      <c r="F7" s="37" t="e">
        <f>IF($C7&lt;&gt;"",VLOOKUP($C7,授業リスト!$A:$J,8,FALSE),"")</f>
        <v>#N/A</v>
      </c>
      <c r="G7" s="37" t="e">
        <f>IF($C7&lt;&gt;"",VLOOKUP($C7,授業リスト!$A:$J,4,FALSE),"")</f>
        <v>#N/A</v>
      </c>
      <c r="H7" s="37" t="e">
        <f>IF($C7&lt;&gt;"",VLOOKUP($C7,授業リスト!$A:$J,5,FALSE),"")</f>
        <v>#N/A</v>
      </c>
      <c r="I7" s="37" t="e">
        <f>IF($C7&lt;&gt;"",VLOOKUP($C7,授業リスト!$A:$J,6,FALSE),"")</f>
        <v>#N/A</v>
      </c>
      <c r="J7" s="37" t="e">
        <f>IF($C7&lt;&gt;"",VLOOKUP($C7,授業リスト!$A:$J,7,FALSE),"")</f>
        <v>#N/A</v>
      </c>
      <c r="K7" s="38" t="e">
        <f>IF($C7&lt;&gt;"",VLOOKUP($C7,授業リスト!$A:$J,9,FALSE),"")</f>
        <v>#N/A</v>
      </c>
      <c r="L7" t="s">
        <v>46</v>
      </c>
      <c r="N7" t="e">
        <f>IF($C7&lt;&gt;"",VLOOKUP($C7,授業リスト!$A:$Z,COLUMN(),FALSE),"")</f>
        <v>#N/A</v>
      </c>
      <c r="O7" t="e">
        <f>IF($C7&lt;&gt;"",VLOOKUP($C7,授業リスト!$A:$Z,COLUMN(),FALSE),"")</f>
        <v>#N/A</v>
      </c>
      <c r="P7" t="e">
        <f>IF($C7&lt;&gt;"",VLOOKUP($C7,授業リスト!$A:$Z,COLUMN(),FALSE),"")</f>
        <v>#N/A</v>
      </c>
      <c r="Q7" t="e">
        <f>IF($C7&lt;&gt;"",VLOOKUP($C7,授業リスト!$A:$Z,COLUMN(),FALSE),"")</f>
        <v>#N/A</v>
      </c>
      <c r="R7" t="e">
        <f>IF($C7&lt;&gt;"",VLOOKUP($C7,授業リスト!$A:$Z,COLUMN(),FALSE),"")</f>
        <v>#N/A</v>
      </c>
      <c r="S7" t="e">
        <f>IF($C7&lt;&gt;"",VLOOKUP($C7,授業リスト!$A:$Z,COLUMN(),FALSE),"")</f>
        <v>#N/A</v>
      </c>
      <c r="T7" t="e">
        <f>IF($C7&lt;&gt;"",VLOOKUP($C7,授業リスト!$A:$Z,COLUMN(),FALSE),"")</f>
        <v>#N/A</v>
      </c>
      <c r="U7" t="e">
        <f>IF($C7&lt;&gt;"",VLOOKUP($C7,授業リスト!$A:$Z,COLUMN(),FALSE),"")</f>
        <v>#N/A</v>
      </c>
      <c r="V7" t="e">
        <f>IF($C7&lt;&gt;"",VLOOKUP($C7,授業リスト!$A:$Z,COLUMN(),FALSE),"")</f>
        <v>#N/A</v>
      </c>
      <c r="W7" t="e">
        <f>IF($C7&lt;&gt;"",VLOOKUP($C7,授業リスト!$A:$Z,COLUMN(),FALSE),"")</f>
        <v>#N/A</v>
      </c>
      <c r="X7" t="e">
        <f>IF($C7&lt;&gt;"",VLOOKUP($C7,授業リスト!$A:$Z,COLUMN(),FALSE),"")</f>
        <v>#N/A</v>
      </c>
      <c r="Y7" t="e">
        <f>IF($C7&lt;&gt;"",VLOOKUP($C7,授業リスト!$A:$Z,COLUMN(),FALSE),"")</f>
        <v>#N/A</v>
      </c>
      <c r="Z7" t="e">
        <f>IF($C7&lt;&gt;"",VLOOKUP($C7,授業リスト!$A:$Z,COLUMN(),FALSE),"")</f>
        <v>#N/A</v>
      </c>
    </row>
    <row r="8" spans="1:26">
      <c r="A8">
        <v>2</v>
      </c>
      <c r="B8" t="s">
        <v>47</v>
      </c>
      <c r="C8" s="12">
        <v>38017</v>
      </c>
      <c r="D8" t="e">
        <f>IF($C8&lt;&gt;"",VLOOKUP($C8,授業リスト!$A:$J,2,FALSE),"")</f>
        <v>#N/A</v>
      </c>
      <c r="E8" t="e">
        <f>IF($C8&lt;&gt;"",VLOOKUP($C8,授業リスト!$A:$J,3,FALSE),"")</f>
        <v>#N/A</v>
      </c>
      <c r="F8" t="e">
        <f>IF($C8&lt;&gt;"",VLOOKUP($C8,授業リスト!$A:$J,8,FALSE),"")</f>
        <v>#N/A</v>
      </c>
      <c r="G8" t="e">
        <f>IF($C8&lt;&gt;"",VLOOKUP($C8,授業リスト!$A:$J,4,FALSE),"")</f>
        <v>#N/A</v>
      </c>
      <c r="H8" t="e">
        <f>IF($C8&lt;&gt;"",VLOOKUP($C8,授業リスト!$A:$J,5,FALSE),"")</f>
        <v>#N/A</v>
      </c>
      <c r="I8" t="e">
        <f>IF($C8&lt;&gt;"",VLOOKUP($C8,授業リスト!$A:$J,6,FALSE),"")</f>
        <v>#N/A</v>
      </c>
      <c r="J8" t="e">
        <f>IF($C8&lt;&gt;"",VLOOKUP($C8,授業リスト!$A:$J,7,FALSE),"")</f>
        <v>#N/A</v>
      </c>
      <c r="K8" s="30" t="e">
        <f>IF($C8&lt;&gt;"",VLOOKUP($C8,授業リスト!$A:$J,9,FALSE),"")</f>
        <v>#N/A</v>
      </c>
      <c r="L8" t="s">
        <v>46</v>
      </c>
      <c r="N8" t="e">
        <f>IF($C8&lt;&gt;"",VLOOKUP($C8,授業リスト!$A:$Z,COLUMN(),FALSE),"")</f>
        <v>#N/A</v>
      </c>
      <c r="O8" t="e">
        <f>IF($C8&lt;&gt;"",VLOOKUP($C8,授業リスト!$A:$Z,COLUMN(),FALSE),"")</f>
        <v>#N/A</v>
      </c>
      <c r="P8" t="e">
        <f>IF($C8&lt;&gt;"",VLOOKUP($C8,授業リスト!$A:$Z,COLUMN(),FALSE),"")</f>
        <v>#N/A</v>
      </c>
      <c r="Q8" t="e">
        <f>IF($C8&lt;&gt;"",VLOOKUP($C8,授業リスト!$A:$Z,COLUMN(),FALSE),"")</f>
        <v>#N/A</v>
      </c>
      <c r="R8" t="e">
        <f>IF($C8&lt;&gt;"",VLOOKUP($C8,授業リスト!$A:$Z,COLUMN(),FALSE),"")</f>
        <v>#N/A</v>
      </c>
      <c r="S8" t="e">
        <f>IF($C8&lt;&gt;"",VLOOKUP($C8,授業リスト!$A:$Z,COLUMN(),FALSE),"")</f>
        <v>#N/A</v>
      </c>
      <c r="T8" t="e">
        <f>IF($C8&lt;&gt;"",VLOOKUP($C8,授業リスト!$A:$Z,COLUMN(),FALSE),"")</f>
        <v>#N/A</v>
      </c>
      <c r="U8" t="e">
        <f>IF($C8&lt;&gt;"",VLOOKUP($C8,授業リスト!$A:$Z,COLUMN(),FALSE),"")</f>
        <v>#N/A</v>
      </c>
      <c r="V8" t="e">
        <f>IF($C8&lt;&gt;"",VLOOKUP($C8,授業リスト!$A:$Z,COLUMN(),FALSE),"")</f>
        <v>#N/A</v>
      </c>
      <c r="W8" t="e">
        <f>IF($C8&lt;&gt;"",VLOOKUP($C8,授業リスト!$A:$Z,COLUMN(),FALSE),"")</f>
        <v>#N/A</v>
      </c>
      <c r="X8" t="e">
        <f>IF($C8&lt;&gt;"",VLOOKUP($C8,授業リスト!$A:$Z,COLUMN(),FALSE),"")</f>
        <v>#N/A</v>
      </c>
      <c r="Y8" t="e">
        <f>IF($C8&lt;&gt;"",VLOOKUP($C8,授業リスト!$A:$Z,COLUMN(),FALSE),"")</f>
        <v>#N/A</v>
      </c>
      <c r="Z8" t="e">
        <f>IF($C8&lt;&gt;"",VLOOKUP($C8,授業リスト!$A:$Z,COLUMN(),FALSE),"")</f>
        <v>#N/A</v>
      </c>
    </row>
    <row r="9" spans="1:26">
      <c r="A9">
        <v>3</v>
      </c>
      <c r="B9" t="s">
        <v>47</v>
      </c>
      <c r="C9" s="12">
        <v>37196</v>
      </c>
      <c r="D9" t="str">
        <f>IF($C9&lt;&gt;"",VLOOKUP($C9,授業リスト!$A:$J,2,FALSE),"")</f>
        <v>Intermediate Social Studies Teaching Methods II</v>
      </c>
      <c r="E9" t="str">
        <f>IF($C9&lt;&gt;"",VLOOKUP($C9,授業リスト!$A:$J,3,FALSE),"")</f>
        <v/>
      </c>
      <c r="F9" t="str">
        <f>IF($C9&lt;&gt;"",VLOOKUP($C9,授業リスト!$A:$J,8,FALSE),"")</f>
        <v>Ludwig van Beethoven</v>
      </c>
      <c r="G9">
        <f>IF($C9&lt;&gt;"",VLOOKUP($C9,授業リスト!$A:$J,4,FALSE),"")</f>
        <v>2</v>
      </c>
      <c r="H9" t="str">
        <f>IF($C9&lt;&gt;"",VLOOKUP($C9,授業リスト!$A:$J,5,FALSE),"")</f>
        <v>後</v>
      </c>
      <c r="I9" t="str">
        <f>IF($C9&lt;&gt;"",VLOOKUP($C9,授業リスト!$A:$J,6,FALSE),"")</f>
        <v>木</v>
      </c>
      <c r="J9">
        <f>IF($C9&lt;&gt;"",VLOOKUP($C9,授業リスト!$A:$J,7,FALSE),"")</f>
        <v>3</v>
      </c>
      <c r="K9" s="30">
        <f>IF($C9&lt;&gt;"",VLOOKUP($C9,授業リスト!$A:$J,9,FALSE),"")</f>
        <v>2</v>
      </c>
      <c r="L9" t="s">
        <v>45</v>
      </c>
      <c r="N9" t="str">
        <f>IF($C9&lt;&gt;"",VLOOKUP($C9,授業リスト!$A:$Z,COLUMN(),FALSE),"")</f>
        <v/>
      </c>
      <c r="O9" t="str">
        <f>IF($C9&lt;&gt;"",VLOOKUP($C9,授業リスト!$A:$Z,COLUMN(),FALSE),"")</f>
        <v/>
      </c>
      <c r="P9" t="str">
        <f>IF($C9&lt;&gt;"",VLOOKUP($C9,授業リスト!$A:$Z,COLUMN(),FALSE),"")</f>
        <v/>
      </c>
      <c r="Q9" t="str">
        <f>IF($C9&lt;&gt;"",VLOOKUP($C9,授業リスト!$A:$Z,COLUMN(),FALSE),"")</f>
        <v/>
      </c>
      <c r="R9" t="str">
        <f>IF($C9&lt;&gt;"",VLOOKUP($C9,授業リスト!$A:$Z,COLUMN(),FALSE),"")</f>
        <v/>
      </c>
      <c r="S9" t="str">
        <f>IF($C9&lt;&gt;"",VLOOKUP($C9,授業リスト!$A:$Z,COLUMN(),FALSE),"")</f>
        <v/>
      </c>
      <c r="T9" t="str">
        <f>IF($C9&lt;&gt;"",VLOOKUP($C9,授業リスト!$A:$Z,COLUMN(),FALSE),"")</f>
        <v/>
      </c>
      <c r="U9" t="str">
        <f>IF($C9&lt;&gt;"",VLOOKUP($C9,授業リスト!$A:$Z,COLUMN(),FALSE),"")</f>
        <v>Y</v>
      </c>
      <c r="V9" t="str">
        <f>IF($C9&lt;&gt;"",VLOOKUP($C9,授業リスト!$A:$Z,COLUMN(),FALSE),"")</f>
        <v/>
      </c>
      <c r="W9">
        <f>IF($C9&lt;&gt;"",VLOOKUP($C9,授業リスト!$A:$Z,COLUMN(),FALSE),"")</f>
        <v>0</v>
      </c>
      <c r="X9">
        <f>IF($C9&lt;&gt;"",VLOOKUP($C9,授業リスト!$A:$Z,COLUMN(),FALSE),"")</f>
        <v>0</v>
      </c>
      <c r="Y9">
        <f>IF($C9&lt;&gt;"",VLOOKUP($C9,授業リスト!$A:$Z,COLUMN(),FALSE),"")</f>
        <v>0</v>
      </c>
      <c r="Z9">
        <f>IF($C9&lt;&gt;"",VLOOKUP($C9,授業リスト!$A:$Z,COLUMN(),FALSE),"")</f>
        <v>0</v>
      </c>
    </row>
    <row r="10" spans="1:26">
      <c r="A10">
        <v>3</v>
      </c>
      <c r="B10" t="s">
        <v>47</v>
      </c>
      <c r="C10" s="12">
        <v>37253</v>
      </c>
      <c r="D10" t="str">
        <f>IF($C10&lt;&gt;"",VLOOKUP($C10,授業リスト!$A:$J,2,FALSE),"")</f>
        <v>Theory and Methods of Educational Counseling</v>
      </c>
      <c r="E10">
        <f>IF($C10&lt;&gt;"",VLOOKUP($C10,授業リスト!$A:$J,3,FALSE),"")</f>
        <v>0</v>
      </c>
      <c r="F10" t="str">
        <f>IF($C10&lt;&gt;"",VLOOKUP($C10,授業リスト!$A:$J,8,FALSE),"")</f>
        <v>Wolfgang Amadeus Mozart</v>
      </c>
      <c r="G10">
        <f>IF($C10&lt;&gt;"",VLOOKUP($C10,授業リスト!$A:$J,4,FALSE),"")</f>
        <v>2</v>
      </c>
      <c r="H10" t="str">
        <f>IF($C10&lt;&gt;"",VLOOKUP($C10,授業リスト!$A:$J,5,FALSE),"")</f>
        <v>後</v>
      </c>
      <c r="I10" t="str">
        <f>IF($C10&lt;&gt;"",VLOOKUP($C10,授業リスト!$A:$J,6,FALSE),"")</f>
        <v>水</v>
      </c>
      <c r="J10">
        <f>IF($C10&lt;&gt;"",VLOOKUP($C10,授業リスト!$A:$J,7,FALSE),"")</f>
        <v>2</v>
      </c>
      <c r="K10" s="30">
        <f>IF($C10&lt;&gt;"",VLOOKUP($C10,授業リスト!$A:$J,9,FALSE),"")</f>
        <v>2</v>
      </c>
      <c r="L10" t="s">
        <v>45</v>
      </c>
      <c r="N10" t="str">
        <f>IF($C10&lt;&gt;"",VLOOKUP($C10,授業リスト!$A:$Z,COLUMN(),FALSE),"")</f>
        <v/>
      </c>
      <c r="O10" t="str">
        <f>IF($C10&lt;&gt;"",VLOOKUP($C10,授業リスト!$A:$Z,COLUMN(),FALSE),"")</f>
        <v/>
      </c>
      <c r="P10" t="str">
        <f>IF($C10&lt;&gt;"",VLOOKUP($C10,授業リスト!$A:$Z,COLUMN(),FALSE),"")</f>
        <v>Y</v>
      </c>
      <c r="Q10" t="str">
        <f>IF($C10&lt;&gt;"",VLOOKUP($C10,授業リスト!$A:$Z,COLUMN(),FALSE),"")</f>
        <v>Y</v>
      </c>
      <c r="R10" t="str">
        <f>IF($C10&lt;&gt;"",VLOOKUP($C10,授業リスト!$A:$Z,COLUMN(),FALSE),"")</f>
        <v/>
      </c>
      <c r="S10" t="str">
        <f>IF($C10&lt;&gt;"",VLOOKUP($C10,授業リスト!$A:$Z,COLUMN(),FALSE),"")</f>
        <v/>
      </c>
      <c r="T10" t="str">
        <f>IF($C10&lt;&gt;"",VLOOKUP($C10,授業リスト!$A:$Z,COLUMN(),FALSE),"")</f>
        <v/>
      </c>
      <c r="U10" t="str">
        <f>IF($C10&lt;&gt;"",VLOOKUP($C10,授業リスト!$A:$Z,COLUMN(),FALSE),"")</f>
        <v/>
      </c>
      <c r="V10" t="str">
        <f>IF($C10&lt;&gt;"",VLOOKUP($C10,授業リスト!$A:$Z,COLUMN(),FALSE),"")</f>
        <v/>
      </c>
      <c r="W10">
        <f>IF($C10&lt;&gt;"",VLOOKUP($C10,授業リスト!$A:$Z,COLUMN(),FALSE),"")</f>
        <v>0</v>
      </c>
      <c r="X10">
        <f>IF($C10&lt;&gt;"",VLOOKUP($C10,授業リスト!$A:$Z,COLUMN(),FALSE),"")</f>
        <v>0</v>
      </c>
      <c r="Y10">
        <f>IF($C10&lt;&gt;"",VLOOKUP($C10,授業リスト!$A:$Z,COLUMN(),FALSE),"")</f>
        <v>0</v>
      </c>
      <c r="Z10">
        <f>IF($C10&lt;&gt;"",VLOOKUP($C10,授業リスト!$A:$Z,COLUMN(),FALSE),"")</f>
        <v>0</v>
      </c>
    </row>
    <row r="11" spans="1:26">
      <c r="A11">
        <v>3</v>
      </c>
      <c r="B11" t="s">
        <v>47</v>
      </c>
      <c r="C11" s="12">
        <v>37506</v>
      </c>
      <c r="D11" t="str">
        <f>IF($C11&lt;&gt;"",VLOOKUP($C11,授業リスト!$A:$J,2,FALSE),"")</f>
        <v>Introduction to Law</v>
      </c>
      <c r="E11" t="str">
        <f>IF($C11&lt;&gt;"",VLOOKUP($C11,授業リスト!$A:$J,3,FALSE),"")</f>
        <v/>
      </c>
      <c r="F11" t="str">
        <f>IF($C11&lt;&gt;"",VLOOKUP($C11,授業リスト!$A:$J,8,FALSE),"")</f>
        <v>William Wordsworth</v>
      </c>
      <c r="G11">
        <f>IF($C11&lt;&gt;"",VLOOKUP($C11,授業リスト!$A:$J,4,FALSE),"")</f>
        <v>2</v>
      </c>
      <c r="H11" t="str">
        <f>IF($C11&lt;&gt;"",VLOOKUP($C11,授業リスト!$A:$J,5,FALSE),"")</f>
        <v>後</v>
      </c>
      <c r="I11" t="str">
        <f>IF($C11&lt;&gt;"",VLOOKUP($C11,授業リスト!$A:$J,6,FALSE),"")</f>
        <v>月</v>
      </c>
      <c r="J11">
        <f>IF($C11&lt;&gt;"",VLOOKUP($C11,授業リスト!$A:$J,7,FALSE),"")</f>
        <v>4</v>
      </c>
      <c r="K11" s="30" t="str">
        <f>IF($C11&lt;&gt;"",VLOOKUP($C11,授業リスト!$A:$J,9,FALSE),"")</f>
        <v>1～2</v>
      </c>
      <c r="L11" t="s">
        <v>45</v>
      </c>
      <c r="N11" t="str">
        <f>IF($C11&lt;&gt;"",VLOOKUP($C11,授業リスト!$A:$Z,COLUMN(),FALSE),"")</f>
        <v/>
      </c>
      <c r="O11" t="str">
        <f>IF($C11&lt;&gt;"",VLOOKUP($C11,授業リスト!$A:$Z,COLUMN(),FALSE),"")</f>
        <v/>
      </c>
      <c r="P11" t="str">
        <f>IF($C11&lt;&gt;"",VLOOKUP($C11,授業リスト!$A:$Z,COLUMN(),FALSE),"")</f>
        <v/>
      </c>
      <c r="Q11" t="str">
        <f>IF($C11&lt;&gt;"",VLOOKUP($C11,授業リスト!$A:$Z,COLUMN(),FALSE),"")</f>
        <v/>
      </c>
      <c r="R11" t="str">
        <f>IF($C11&lt;&gt;"",VLOOKUP($C11,授業リスト!$A:$Z,COLUMN(),FALSE),"")</f>
        <v/>
      </c>
      <c r="S11" t="str">
        <f>IF($C11&lt;&gt;"",VLOOKUP($C11,授業リスト!$A:$Z,COLUMN(),FALSE),"")</f>
        <v/>
      </c>
      <c r="T11" t="str">
        <f>IF($C11&lt;&gt;"",VLOOKUP($C11,授業リスト!$A:$Z,COLUMN(),FALSE),"")</f>
        <v/>
      </c>
      <c r="U11" t="str">
        <f>IF($C11&lt;&gt;"",VLOOKUP($C11,授業リスト!$A:$Z,COLUMN(),FALSE),"")</f>
        <v>Y</v>
      </c>
      <c r="V11" t="str">
        <f>IF($C11&lt;&gt;"",VLOOKUP($C11,授業リスト!$A:$Z,COLUMN(),FALSE),"")</f>
        <v/>
      </c>
      <c r="W11">
        <f>IF($C11&lt;&gt;"",VLOOKUP($C11,授業リスト!$A:$Z,COLUMN(),FALSE),"")</f>
        <v>0</v>
      </c>
      <c r="X11">
        <f>IF($C11&lt;&gt;"",VLOOKUP($C11,授業リスト!$A:$Z,COLUMN(),FALSE),"")</f>
        <v>0</v>
      </c>
      <c r="Y11">
        <f>IF($C11&lt;&gt;"",VLOOKUP($C11,授業リスト!$A:$Z,COLUMN(),FALSE),"")</f>
        <v>0</v>
      </c>
      <c r="Z11">
        <f>IF($C11&lt;&gt;"",VLOOKUP($C11,授業リスト!$A:$Z,COLUMN(),FALSE),"")</f>
        <v>0</v>
      </c>
    </row>
    <row r="12" spans="1:26">
      <c r="A12">
        <v>3</v>
      </c>
      <c r="B12" t="s">
        <v>47</v>
      </c>
      <c r="C12" s="12">
        <v>37510</v>
      </c>
      <c r="D12" t="str">
        <f>IF($C12&lt;&gt;"",VLOOKUP($C12,授業リスト!$A:$J,2,FALSE),"")</f>
        <v>Social Survey Methodology</v>
      </c>
      <c r="E12" t="str">
        <f>IF($C12&lt;&gt;"",VLOOKUP($C12,授業リスト!$A:$J,3,FALSE),"")</f>
        <v/>
      </c>
      <c r="F12" t="str">
        <f>IF($C12&lt;&gt;"",VLOOKUP($C12,授業リスト!$A:$J,8,FALSE),"")</f>
        <v>Antoine de Saint-Exupéry</v>
      </c>
      <c r="G12">
        <f>IF($C12&lt;&gt;"",VLOOKUP($C12,授業リスト!$A:$J,4,FALSE),"")</f>
        <v>2</v>
      </c>
      <c r="H12" t="str">
        <f>IF($C12&lt;&gt;"",VLOOKUP($C12,授業リスト!$A:$J,5,FALSE),"")</f>
        <v>後</v>
      </c>
      <c r="I12" t="str">
        <f>IF($C12&lt;&gt;"",VLOOKUP($C12,授業リスト!$A:$J,6,FALSE),"")</f>
        <v>火</v>
      </c>
      <c r="J12">
        <f>IF($C12&lt;&gt;"",VLOOKUP($C12,授業リスト!$A:$J,7,FALSE),"")</f>
        <v>4</v>
      </c>
      <c r="K12" s="30" t="str">
        <f>IF($C12&lt;&gt;"",VLOOKUP($C12,授業リスト!$A:$J,9,FALSE),"")</f>
        <v>1～2</v>
      </c>
      <c r="L12" t="s">
        <v>45</v>
      </c>
      <c r="N12" t="str">
        <f>IF($C12&lt;&gt;"",VLOOKUP($C12,授業リスト!$A:$Z,COLUMN(),FALSE),"")</f>
        <v/>
      </c>
      <c r="O12" t="str">
        <f>IF($C12&lt;&gt;"",VLOOKUP($C12,授業リスト!$A:$Z,COLUMN(),FALSE),"")</f>
        <v/>
      </c>
      <c r="P12" t="str">
        <f>IF($C12&lt;&gt;"",VLOOKUP($C12,授業リスト!$A:$Z,COLUMN(),FALSE),"")</f>
        <v/>
      </c>
      <c r="Q12" t="str">
        <f>IF($C12&lt;&gt;"",VLOOKUP($C12,授業リスト!$A:$Z,COLUMN(),FALSE),"")</f>
        <v/>
      </c>
      <c r="R12" t="str">
        <f>IF($C12&lt;&gt;"",VLOOKUP($C12,授業リスト!$A:$Z,COLUMN(),FALSE),"")</f>
        <v/>
      </c>
      <c r="S12" t="str">
        <f>IF($C12&lt;&gt;"",VLOOKUP($C12,授業リスト!$A:$Z,COLUMN(),FALSE),"")</f>
        <v/>
      </c>
      <c r="T12" t="str">
        <f>IF($C12&lt;&gt;"",VLOOKUP($C12,授業リスト!$A:$Z,COLUMN(),FALSE),"")</f>
        <v/>
      </c>
      <c r="U12" t="str">
        <f>IF($C12&lt;&gt;"",VLOOKUP($C12,授業リスト!$A:$Z,COLUMN(),FALSE),"")</f>
        <v>Y</v>
      </c>
      <c r="V12" t="str">
        <f>IF($C12&lt;&gt;"",VLOOKUP($C12,授業リスト!$A:$Z,COLUMN(),FALSE),"")</f>
        <v/>
      </c>
      <c r="W12">
        <f>IF($C12&lt;&gt;"",VLOOKUP($C12,授業リスト!$A:$Z,COLUMN(),FALSE),"")</f>
        <v>0</v>
      </c>
      <c r="X12">
        <f>IF($C12&lt;&gt;"",VLOOKUP($C12,授業リスト!$A:$Z,COLUMN(),FALSE),"")</f>
        <v>0</v>
      </c>
      <c r="Y12">
        <f>IF($C12&lt;&gt;"",VLOOKUP($C12,授業リスト!$A:$Z,COLUMN(),FALSE),"")</f>
        <v>0</v>
      </c>
      <c r="Z12">
        <f>IF($C12&lt;&gt;"",VLOOKUP($C12,授業リスト!$A:$Z,COLUMN(),FALSE),"")</f>
        <v>0</v>
      </c>
    </row>
    <row r="13" spans="1:26">
      <c r="A13" s="37">
        <v>3</v>
      </c>
      <c r="B13" s="37" t="s">
        <v>69</v>
      </c>
      <c r="C13" s="39">
        <v>37262</v>
      </c>
      <c r="D13" s="37" t="str">
        <f>IF($C13&lt;&gt;"",VLOOKUP($C13,授業リスト!$A:$J,2,FALSE),"")</f>
        <v>Pre and Post-Instruction for Educational Practicum</v>
      </c>
      <c r="E13" s="37">
        <f>IF($C13&lt;&gt;"",VLOOKUP($C13,授業リスト!$A:$J,3,FALSE),"")</f>
        <v>0</v>
      </c>
      <c r="F13" s="37" t="str">
        <f>IF($C13&lt;&gt;"",VLOOKUP($C13,授業リスト!$A:$J,8,FALSE),"")</f>
        <v>Pablo Neruda</v>
      </c>
      <c r="G13" s="37">
        <f>IF($C13&lt;&gt;"",VLOOKUP($C13,授業リスト!$A:$J,4,FALSE),"")</f>
        <v>1</v>
      </c>
      <c r="H13" s="37">
        <f>IF($C13&lt;&gt;"",VLOOKUP($C13,授業リスト!$A:$J,5,FALSE),"")</f>
        <v>0</v>
      </c>
      <c r="I13" s="37" t="str">
        <f>IF($C13&lt;&gt;"",VLOOKUP($C13,授業リスト!$A:$J,6,FALSE),"")</f>
        <v>実習</v>
      </c>
      <c r="J13" s="37">
        <f>IF($C13&lt;&gt;"",VLOOKUP($C13,授業リスト!$A:$J,7,FALSE),"")</f>
        <v>0</v>
      </c>
      <c r="K13" s="38">
        <f>IF($C13&lt;&gt;"",VLOOKUP($C13,授業リスト!$A:$J,9,FALSE),"")</f>
        <v>3</v>
      </c>
      <c r="L13" t="s">
        <v>46</v>
      </c>
      <c r="N13" t="str">
        <f>IF($C13&lt;&gt;"",VLOOKUP($C13,授業リスト!$A:$Z,COLUMN(),FALSE),"")</f>
        <v/>
      </c>
      <c r="O13" t="str">
        <f>IF($C13&lt;&gt;"",VLOOKUP($C13,授業リスト!$A:$Z,COLUMN(),FALSE),"")</f>
        <v/>
      </c>
      <c r="P13" t="str">
        <f>IF($C13&lt;&gt;"",VLOOKUP($C13,授業リスト!$A:$Z,COLUMN(),FALSE),"")</f>
        <v>Y</v>
      </c>
      <c r="Q13" t="str">
        <f>IF($C13&lt;&gt;"",VLOOKUP($C13,授業リスト!$A:$Z,COLUMN(),FALSE),"")</f>
        <v/>
      </c>
      <c r="R13" t="str">
        <f>IF($C13&lt;&gt;"",VLOOKUP($C13,授業リスト!$A:$Z,COLUMN(),FALSE),"")</f>
        <v>Y</v>
      </c>
      <c r="S13" t="str">
        <f>IF($C13&lt;&gt;"",VLOOKUP($C13,授業リスト!$A:$Z,COLUMN(),FALSE),"")</f>
        <v/>
      </c>
      <c r="T13" t="str">
        <f>IF($C13&lt;&gt;"",VLOOKUP($C13,授業リスト!$A:$Z,COLUMN(),FALSE),"")</f>
        <v/>
      </c>
      <c r="U13" t="str">
        <f>IF($C13&lt;&gt;"",VLOOKUP($C13,授業リスト!$A:$Z,COLUMN(),FALSE),"")</f>
        <v/>
      </c>
      <c r="V13" t="str">
        <f>IF($C13&lt;&gt;"",VLOOKUP($C13,授業リスト!$A:$Z,COLUMN(),FALSE),"")</f>
        <v/>
      </c>
      <c r="W13">
        <f>IF($C13&lt;&gt;"",VLOOKUP($C13,授業リスト!$A:$Z,COLUMN(),FALSE),"")</f>
        <v>0</v>
      </c>
      <c r="X13">
        <f>IF($C13&lt;&gt;"",VLOOKUP($C13,授業リスト!$A:$Z,COLUMN(),FALSE),"")</f>
        <v>0</v>
      </c>
      <c r="Y13">
        <f>IF($C13&lt;&gt;"",VLOOKUP($C13,授業リスト!$A:$Z,COLUMN(),FALSE),"")</f>
        <v>0</v>
      </c>
      <c r="Z13">
        <f>IF($C13&lt;&gt;"",VLOOKUP($C13,授業リスト!$A:$Z,COLUMN(),FALSE),"")</f>
        <v>0</v>
      </c>
    </row>
    <row r="14" spans="1:26">
      <c r="A14" s="37">
        <v>3</v>
      </c>
      <c r="B14" s="37" t="s">
        <v>69</v>
      </c>
      <c r="C14" s="39">
        <v>37264</v>
      </c>
      <c r="D14" s="37" t="str">
        <f>IF($C14&lt;&gt;"",VLOOKUP($C14,授業リスト!$A:$J,2,FALSE),"")</f>
        <v>Educational Practicum (Secondary) I</v>
      </c>
      <c r="E14" s="37">
        <f>IF($C14&lt;&gt;"",VLOOKUP($C14,授業リスト!$A:$J,3,FALSE),"")</f>
        <v>0</v>
      </c>
      <c r="F14" s="37" t="str">
        <f>IF($C14&lt;&gt;"",VLOOKUP($C14,授業リスト!$A:$J,8,FALSE),"")</f>
        <v>Martin Luther King Sr.</v>
      </c>
      <c r="G14" s="37">
        <f>IF($C14&lt;&gt;"",VLOOKUP($C14,授業リスト!$A:$J,4,FALSE),"")</f>
        <v>4</v>
      </c>
      <c r="H14" s="37">
        <f>IF($C14&lt;&gt;"",VLOOKUP($C14,授業リスト!$A:$J,5,FALSE),"")</f>
        <v>0</v>
      </c>
      <c r="I14" s="37" t="str">
        <f>IF($C14&lt;&gt;"",VLOOKUP($C14,授業リスト!$A:$J,6,FALSE),"")</f>
        <v>実習</v>
      </c>
      <c r="J14" s="37">
        <f>IF($C14&lt;&gt;"",VLOOKUP($C14,授業リスト!$A:$J,7,FALSE),"")</f>
        <v>0</v>
      </c>
      <c r="K14" s="38">
        <f>IF($C14&lt;&gt;"",VLOOKUP($C14,授業リスト!$A:$J,9,FALSE),"")</f>
        <v>3</v>
      </c>
      <c r="L14" t="s">
        <v>46</v>
      </c>
      <c r="N14" t="str">
        <f>IF($C14&lt;&gt;"",VLOOKUP($C14,授業リスト!$A:$Z,COLUMN(),FALSE),"")</f>
        <v/>
      </c>
      <c r="O14" t="str">
        <f>IF($C14&lt;&gt;"",VLOOKUP($C14,授業リスト!$A:$Z,COLUMN(),FALSE),"")</f>
        <v/>
      </c>
      <c r="P14" t="str">
        <f>IF($C14&lt;&gt;"",VLOOKUP($C14,授業リスト!$A:$Z,COLUMN(),FALSE),"")</f>
        <v>Y</v>
      </c>
      <c r="Q14" t="str">
        <f>IF($C14&lt;&gt;"",VLOOKUP($C14,授業リスト!$A:$Z,COLUMN(),FALSE),"")</f>
        <v/>
      </c>
      <c r="R14" t="str">
        <f>IF($C14&lt;&gt;"",VLOOKUP($C14,授業リスト!$A:$Z,COLUMN(),FALSE),"")</f>
        <v>Y</v>
      </c>
      <c r="S14" t="str">
        <f>IF($C14&lt;&gt;"",VLOOKUP($C14,授業リスト!$A:$Z,COLUMN(),FALSE),"")</f>
        <v/>
      </c>
      <c r="T14" t="str">
        <f>IF($C14&lt;&gt;"",VLOOKUP($C14,授業リスト!$A:$Z,COLUMN(),FALSE),"")</f>
        <v/>
      </c>
      <c r="U14" t="str">
        <f>IF($C14&lt;&gt;"",VLOOKUP($C14,授業リスト!$A:$Z,COLUMN(),FALSE),"")</f>
        <v/>
      </c>
      <c r="V14" t="str">
        <f>IF($C14&lt;&gt;"",VLOOKUP($C14,授業リスト!$A:$Z,COLUMN(),FALSE),"")</f>
        <v/>
      </c>
      <c r="W14">
        <f>IF($C14&lt;&gt;"",VLOOKUP($C14,授業リスト!$A:$Z,COLUMN(),FALSE),"")</f>
        <v>0</v>
      </c>
      <c r="X14">
        <f>IF($C14&lt;&gt;"",VLOOKUP($C14,授業リスト!$A:$Z,COLUMN(),FALSE),"")</f>
        <v>0</v>
      </c>
      <c r="Y14">
        <f>IF($C14&lt;&gt;"",VLOOKUP($C14,授業リスト!$A:$Z,COLUMN(),FALSE),"")</f>
        <v>0</v>
      </c>
      <c r="Z14">
        <f>IF($C14&lt;&gt;"",VLOOKUP($C14,授業リスト!$A:$Z,COLUMN(),FALSE),"")</f>
        <v>0</v>
      </c>
    </row>
    <row r="15" spans="1:26">
      <c r="A15">
        <v>4</v>
      </c>
      <c r="B15" t="s">
        <v>47</v>
      </c>
      <c r="C15" s="12">
        <v>37098</v>
      </c>
      <c r="D15" t="str">
        <f>IF($C15&lt;&gt;"",VLOOKUP($C15,授業リスト!$A:$J,2,FALSE),"")</f>
        <v>Gen Ed Humanities</v>
      </c>
      <c r="E15" t="str">
        <f>IF($C15&lt;&gt;"",VLOOKUP($C15,授業リスト!$A:$J,3,FALSE),"")</f>
        <v>Literature C</v>
      </c>
      <c r="F15" t="str">
        <f>IF($C15&lt;&gt;"",VLOOKUP($C15,授業リスト!$A:$J,8,FALSE),"")</f>
        <v>William Shakespeare</v>
      </c>
      <c r="G15">
        <f>IF($C15&lt;&gt;"",VLOOKUP($C15,授業リスト!$A:$J,4,FALSE),"")</f>
        <v>2</v>
      </c>
      <c r="H15" t="str">
        <f>IF($C15&lt;&gt;"",VLOOKUP($C15,授業リスト!$A:$J,5,FALSE),"")</f>
        <v>後</v>
      </c>
      <c r="I15" t="str">
        <f>IF($C15&lt;&gt;"",VLOOKUP($C15,授業リスト!$A:$J,6,FALSE),"")</f>
        <v>木</v>
      </c>
      <c r="J15">
        <f>IF($C15&lt;&gt;"",VLOOKUP($C15,授業リスト!$A:$J,7,FALSE),"")</f>
        <v>1</v>
      </c>
      <c r="K15" s="30" t="str">
        <f>IF($C15&lt;&gt;"",VLOOKUP($C15,授業リスト!$A:$J,9,FALSE),"")</f>
        <v>1～2</v>
      </c>
      <c r="L15" t="s">
        <v>151</v>
      </c>
      <c r="N15" t="str">
        <f>IF($C15&lt;&gt;"",VLOOKUP($C15,授業リスト!$A:$Z,COLUMN(),FALSE),"")</f>
        <v>Y</v>
      </c>
      <c r="O15" t="str">
        <f>IF($C15&lt;&gt;"",VLOOKUP($C15,授業リスト!$A:$Z,COLUMN(),FALSE),"")</f>
        <v/>
      </c>
      <c r="P15" t="str">
        <f>IF($C15&lt;&gt;"",VLOOKUP($C15,授業リスト!$A:$Z,COLUMN(),FALSE),"")</f>
        <v/>
      </c>
      <c r="Q15" t="str">
        <f>IF($C15&lt;&gt;"",VLOOKUP($C15,授業リスト!$A:$Z,COLUMN(),FALSE),"")</f>
        <v/>
      </c>
      <c r="R15" t="str">
        <f>IF($C15&lt;&gt;"",VLOOKUP($C15,授業リスト!$A:$Z,COLUMN(),FALSE),"")</f>
        <v/>
      </c>
      <c r="S15" t="str">
        <f>IF($C15&lt;&gt;"",VLOOKUP($C15,授業リスト!$A:$Z,COLUMN(),FALSE),"")</f>
        <v/>
      </c>
      <c r="T15" t="str">
        <f>IF($C15&lt;&gt;"",VLOOKUP($C15,授業リスト!$A:$Z,COLUMN(),FALSE),"")</f>
        <v/>
      </c>
      <c r="U15" t="str">
        <f>IF($C15&lt;&gt;"",VLOOKUP($C15,授業リスト!$A:$Z,COLUMN(),FALSE),"")</f>
        <v/>
      </c>
      <c r="V15" t="str">
        <f>IF($C15&lt;&gt;"",VLOOKUP($C15,授業リスト!$A:$Z,COLUMN(),FALSE),"")</f>
        <v/>
      </c>
      <c r="W15">
        <f>IF($C15&lt;&gt;"",VLOOKUP($C15,授業リスト!$A:$Z,COLUMN(),FALSE),"")</f>
        <v>0</v>
      </c>
      <c r="X15">
        <f>IF($C15&lt;&gt;"",VLOOKUP($C15,授業リスト!$A:$Z,COLUMN(),FALSE),"")</f>
        <v>0</v>
      </c>
      <c r="Y15">
        <f>IF($C15&lt;&gt;"",VLOOKUP($C15,授業リスト!$A:$Z,COLUMN(),FALSE),"")</f>
        <v>0</v>
      </c>
      <c r="Z15">
        <f>IF($C15&lt;&gt;"",VLOOKUP($C15,授業リスト!$A:$Z,COLUMN(),FALSE),"")</f>
        <v>0</v>
      </c>
    </row>
    <row r="16" spans="1:26">
      <c r="A16">
        <v>4</v>
      </c>
      <c r="B16" t="s">
        <v>47</v>
      </c>
      <c r="C16" s="12">
        <v>37098</v>
      </c>
      <c r="D16" t="str">
        <f>IF($C16&lt;&gt;"",VLOOKUP($C16,授業リスト!$A:$J,2,FALSE),"")</f>
        <v>Gen Ed Humanities</v>
      </c>
      <c r="E16" t="str">
        <f>IF($C16&lt;&gt;"",VLOOKUP($C16,授業リスト!$A:$J,3,FALSE),"")</f>
        <v>Literature C</v>
      </c>
      <c r="F16" t="str">
        <f>IF($C16&lt;&gt;"",VLOOKUP($C16,授業リスト!$A:$J,8,FALSE),"")</f>
        <v>William Shakespeare</v>
      </c>
      <c r="G16">
        <f>IF($C16&lt;&gt;"",VLOOKUP($C16,授業リスト!$A:$J,4,FALSE),"")</f>
        <v>2</v>
      </c>
      <c r="H16" t="str">
        <f>IF($C16&lt;&gt;"",VLOOKUP($C16,授業リスト!$A:$J,5,FALSE),"")</f>
        <v>後</v>
      </c>
      <c r="I16" t="str">
        <f>IF($C16&lt;&gt;"",VLOOKUP($C16,授業リスト!$A:$J,6,FALSE),"")</f>
        <v>木</v>
      </c>
      <c r="J16">
        <f>IF($C16&lt;&gt;"",VLOOKUP($C16,授業リスト!$A:$J,7,FALSE),"")</f>
        <v>1</v>
      </c>
      <c r="K16" s="30" t="str">
        <f>IF($C16&lt;&gt;"",VLOOKUP($C16,授業リスト!$A:$J,9,FALSE),"")</f>
        <v>1～2</v>
      </c>
      <c r="L16" t="s">
        <v>45</v>
      </c>
      <c r="N16" t="str">
        <f>IF($C16&lt;&gt;"",VLOOKUP($C16,授業リスト!$A:$Z,COLUMN(),FALSE),"")</f>
        <v>Y</v>
      </c>
      <c r="O16" t="str">
        <f>IF($C16&lt;&gt;"",VLOOKUP($C16,授業リスト!$A:$Z,COLUMN(),FALSE),"")</f>
        <v/>
      </c>
      <c r="P16" t="str">
        <f>IF($C16&lt;&gt;"",VLOOKUP($C16,授業リスト!$A:$Z,COLUMN(),FALSE),"")</f>
        <v/>
      </c>
      <c r="Q16" t="str">
        <f>IF($C16&lt;&gt;"",VLOOKUP($C16,授業リスト!$A:$Z,COLUMN(),FALSE),"")</f>
        <v/>
      </c>
      <c r="R16" t="str">
        <f>IF($C16&lt;&gt;"",VLOOKUP($C16,授業リスト!$A:$Z,COLUMN(),FALSE),"")</f>
        <v/>
      </c>
      <c r="S16" t="str">
        <f>IF($C16&lt;&gt;"",VLOOKUP($C16,授業リスト!$A:$Z,COLUMN(),FALSE),"")</f>
        <v/>
      </c>
      <c r="T16" t="str">
        <f>IF($C16&lt;&gt;"",VLOOKUP($C16,授業リスト!$A:$Z,COLUMN(),FALSE),"")</f>
        <v/>
      </c>
      <c r="U16" t="str">
        <f>IF($C16&lt;&gt;"",VLOOKUP($C16,授業リスト!$A:$Z,COLUMN(),FALSE),"")</f>
        <v/>
      </c>
      <c r="V16" t="str">
        <f>IF($C16&lt;&gt;"",VLOOKUP($C16,授業リスト!$A:$Z,COLUMN(),FALSE),"")</f>
        <v/>
      </c>
      <c r="W16">
        <f>IF($C16&lt;&gt;"",VLOOKUP($C16,授業リスト!$A:$Z,COLUMN(),FALSE),"")</f>
        <v>0</v>
      </c>
      <c r="X16">
        <f>IF($C16&lt;&gt;"",VLOOKUP($C16,授業リスト!$A:$Z,COLUMN(),FALSE),"")</f>
        <v>0</v>
      </c>
      <c r="Y16">
        <f>IF($C16&lt;&gt;"",VLOOKUP($C16,授業リスト!$A:$Z,COLUMN(),FALSE),"")</f>
        <v>0</v>
      </c>
      <c r="Z16">
        <f>IF($C16&lt;&gt;"",VLOOKUP($C16,授業リスト!$A:$Z,COLUMN(),FALSE),"")</f>
        <v>0</v>
      </c>
    </row>
    <row r="17" spans="1:26">
      <c r="A17">
        <v>4</v>
      </c>
      <c r="B17" t="s">
        <v>47</v>
      </c>
      <c r="C17" s="12">
        <v>37142</v>
      </c>
      <c r="D17" t="e">
        <f>IF($C17&lt;&gt;"",VLOOKUP($C17,授業リスト!$A:$J,2,FALSE),"")</f>
        <v>#N/A</v>
      </c>
      <c r="E17" t="e">
        <f>IF($C17&lt;&gt;"",VLOOKUP($C17,授業リスト!$A:$J,3,FALSE),"")</f>
        <v>#N/A</v>
      </c>
      <c r="F17" t="e">
        <f>IF($C17&lt;&gt;"",VLOOKUP($C17,授業リスト!$A:$J,8,FALSE),"")</f>
        <v>#N/A</v>
      </c>
      <c r="G17" t="e">
        <f>IF($C17&lt;&gt;"",VLOOKUP($C17,授業リスト!$A:$J,4,FALSE),"")</f>
        <v>#N/A</v>
      </c>
      <c r="H17" t="e">
        <f>IF($C17&lt;&gt;"",VLOOKUP($C17,授業リスト!$A:$J,5,FALSE),"")</f>
        <v>#N/A</v>
      </c>
      <c r="I17" t="e">
        <f>IF($C17&lt;&gt;"",VLOOKUP($C17,授業リスト!$A:$J,6,FALSE),"")</f>
        <v>#N/A</v>
      </c>
      <c r="J17" t="e">
        <f>IF($C17&lt;&gt;"",VLOOKUP($C17,授業リスト!$A:$J,7,FALSE),"")</f>
        <v>#N/A</v>
      </c>
      <c r="K17" s="30" t="e">
        <f>IF($C17&lt;&gt;"",VLOOKUP($C17,授業リスト!$A:$J,9,FALSE),"")</f>
        <v>#N/A</v>
      </c>
      <c r="L17" t="s">
        <v>45</v>
      </c>
      <c r="N17" t="e">
        <f>IF($C17&lt;&gt;"",VLOOKUP($C17,授業リスト!$A:$Z,COLUMN(),FALSE),"")</f>
        <v>#N/A</v>
      </c>
      <c r="O17" t="e">
        <f>IF($C17&lt;&gt;"",VLOOKUP($C17,授業リスト!$A:$Z,COLUMN(),FALSE),"")</f>
        <v>#N/A</v>
      </c>
      <c r="P17" t="e">
        <f>IF($C17&lt;&gt;"",VLOOKUP($C17,授業リスト!$A:$Z,COLUMN(),FALSE),"")</f>
        <v>#N/A</v>
      </c>
      <c r="Q17" t="e">
        <f>IF($C17&lt;&gt;"",VLOOKUP($C17,授業リスト!$A:$Z,COLUMN(),FALSE),"")</f>
        <v>#N/A</v>
      </c>
      <c r="R17" t="e">
        <f>IF($C17&lt;&gt;"",VLOOKUP($C17,授業リスト!$A:$Z,COLUMN(),FALSE),"")</f>
        <v>#N/A</v>
      </c>
      <c r="S17" t="e">
        <f>IF($C17&lt;&gt;"",VLOOKUP($C17,授業リスト!$A:$Z,COLUMN(),FALSE),"")</f>
        <v>#N/A</v>
      </c>
      <c r="T17" t="e">
        <f>IF($C17&lt;&gt;"",VLOOKUP($C17,授業リスト!$A:$Z,COLUMN(),FALSE),"")</f>
        <v>#N/A</v>
      </c>
      <c r="U17" t="e">
        <f>IF($C17&lt;&gt;"",VLOOKUP($C17,授業リスト!$A:$Z,COLUMN(),FALSE),"")</f>
        <v>#N/A</v>
      </c>
      <c r="V17" t="e">
        <f>IF($C17&lt;&gt;"",VLOOKUP($C17,授業リスト!$A:$Z,COLUMN(),FALSE),"")</f>
        <v>#N/A</v>
      </c>
      <c r="W17" t="e">
        <f>IF($C17&lt;&gt;"",VLOOKUP($C17,授業リスト!$A:$Z,COLUMN(),FALSE),"")</f>
        <v>#N/A</v>
      </c>
      <c r="X17" t="e">
        <f>IF($C17&lt;&gt;"",VLOOKUP($C17,授業リスト!$A:$Z,COLUMN(),FALSE),"")</f>
        <v>#N/A</v>
      </c>
      <c r="Y17" t="e">
        <f>IF($C17&lt;&gt;"",VLOOKUP($C17,授業リスト!$A:$Z,COLUMN(),FALSE),"")</f>
        <v>#N/A</v>
      </c>
      <c r="Z17" t="e">
        <f>IF($C17&lt;&gt;"",VLOOKUP($C17,授業リスト!$A:$Z,COLUMN(),FALSE),"")</f>
        <v>#N/A</v>
      </c>
    </row>
    <row r="18" spans="1:26">
      <c r="A18">
        <v>4</v>
      </c>
      <c r="B18" t="s">
        <v>47</v>
      </c>
      <c r="C18" s="12">
        <v>37265</v>
      </c>
      <c r="D18" t="str">
        <f>IF($C18&lt;&gt;"",VLOOKUP($C18,授業リスト!$A:$J,2,FALSE),"")</f>
        <v>Professional Practice Exercises (Preschool, Elementary, Middle, High)</v>
      </c>
      <c r="E18" t="str">
        <f>IF($C18&lt;&gt;"",VLOOKUP($C18,授業リスト!$A:$J,3,FALSE),"")</f>
        <v>Education Theory</v>
      </c>
      <c r="F18" t="str">
        <f>IF($C18&lt;&gt;"",VLOOKUP($C18,授業リスト!$A:$J,8,FALSE),"")</f>
        <v>John Locke</v>
      </c>
      <c r="G18">
        <f>IF($C18&lt;&gt;"",VLOOKUP($C18,授業リスト!$A:$J,4,FALSE),"")</f>
        <v>2</v>
      </c>
      <c r="H18" t="str">
        <f>IF($C18&lt;&gt;"",VLOOKUP($C18,授業リスト!$A:$J,5,FALSE),"")</f>
        <v>後</v>
      </c>
      <c r="I18" t="str">
        <f>IF($C18&lt;&gt;"",VLOOKUP($C18,授業リスト!$A:$J,6,FALSE),"")</f>
        <v>集中</v>
      </c>
      <c r="J18">
        <f>IF($C18&lt;&gt;"",VLOOKUP($C18,授業リスト!$A:$J,7,FALSE),"")</f>
        <v>0</v>
      </c>
      <c r="K18" s="30">
        <f>IF($C18&lt;&gt;"",VLOOKUP($C18,授業リスト!$A:$J,9,FALSE),"")</f>
        <v>4</v>
      </c>
      <c r="L18" t="s">
        <v>151</v>
      </c>
      <c r="N18" t="str">
        <f>IF($C18&lt;&gt;"",VLOOKUP($C18,授業リスト!$A:$Z,COLUMN(),FALSE),"")</f>
        <v/>
      </c>
      <c r="O18" t="str">
        <f>IF($C18&lt;&gt;"",VLOOKUP($C18,授業リスト!$A:$Z,COLUMN(),FALSE),"")</f>
        <v/>
      </c>
      <c r="P18" t="str">
        <f>IF($C18&lt;&gt;"",VLOOKUP($C18,授業リスト!$A:$Z,COLUMN(),FALSE),"")</f>
        <v/>
      </c>
      <c r="Q18" t="str">
        <f>IF($C18&lt;&gt;"",VLOOKUP($C18,授業リスト!$A:$Z,COLUMN(),FALSE),"")</f>
        <v>Y</v>
      </c>
      <c r="R18" t="str">
        <f>IF($C18&lt;&gt;"",VLOOKUP($C18,授業リスト!$A:$Z,COLUMN(),FALSE),"")</f>
        <v/>
      </c>
      <c r="S18" t="str">
        <f>IF($C18&lt;&gt;"",VLOOKUP($C18,授業リスト!$A:$Z,COLUMN(),FALSE),"")</f>
        <v/>
      </c>
      <c r="T18" t="str">
        <f>IF($C18&lt;&gt;"",VLOOKUP($C18,授業リスト!$A:$Z,COLUMN(),FALSE),"")</f>
        <v>Y</v>
      </c>
      <c r="U18" t="str">
        <f>IF($C18&lt;&gt;"",VLOOKUP($C18,授業リスト!$A:$Z,COLUMN(),FALSE),"")</f>
        <v/>
      </c>
      <c r="V18" t="str">
        <f>IF($C18&lt;&gt;"",VLOOKUP($C18,授業リスト!$A:$Z,COLUMN(),FALSE),"")</f>
        <v/>
      </c>
      <c r="W18">
        <f>IF($C18&lt;&gt;"",VLOOKUP($C18,授業リスト!$A:$Z,COLUMN(),FALSE),"")</f>
        <v>0</v>
      </c>
      <c r="X18">
        <f>IF($C18&lt;&gt;"",VLOOKUP($C18,授業リスト!$A:$Z,COLUMN(),FALSE),"")</f>
        <v>0</v>
      </c>
      <c r="Y18">
        <f>IF($C18&lt;&gt;"",VLOOKUP($C18,授業リスト!$A:$Z,COLUMN(),FALSE),"")</f>
        <v>0</v>
      </c>
      <c r="Z18">
        <f>IF($C18&lt;&gt;"",VLOOKUP($C18,授業リスト!$A:$Z,COLUMN(),FALSE),"")</f>
        <v>0</v>
      </c>
    </row>
    <row r="19" spans="1:26">
      <c r="A19">
        <v>4</v>
      </c>
      <c r="B19" t="s">
        <v>47</v>
      </c>
      <c r="C19" s="12">
        <v>37521</v>
      </c>
      <c r="D19" t="str">
        <f>IF($C19&lt;&gt;"",VLOOKUP($C19,授業リスト!$A:$J,2,FALSE),"")</f>
        <v>Special Lecture on Ethics / Special Lecture on Ethics II</v>
      </c>
      <c r="E19" t="str">
        <f>IF($C19&lt;&gt;"",VLOOKUP($C19,授業リスト!$A:$J,3,FALSE),"")</f>
        <v/>
      </c>
      <c r="F19" t="str">
        <f>IF($C19&lt;&gt;"",VLOOKUP($C19,授業リスト!$A:$J,8,FALSE),"")</f>
        <v>Albert Einstein</v>
      </c>
      <c r="G19">
        <f>IF($C19&lt;&gt;"",VLOOKUP($C19,授業リスト!$A:$J,4,FALSE),"")</f>
        <v>2</v>
      </c>
      <c r="H19" t="str">
        <f>IF($C19&lt;&gt;"",VLOOKUP($C19,授業リスト!$A:$J,5,FALSE),"")</f>
        <v>後</v>
      </c>
      <c r="I19" t="str">
        <f>IF($C19&lt;&gt;"",VLOOKUP($C19,授業リスト!$A:$J,6,FALSE),"")</f>
        <v>水</v>
      </c>
      <c r="J19">
        <f>IF($C19&lt;&gt;"",VLOOKUP($C19,授業リスト!$A:$J,7,FALSE),"")</f>
        <v>5</v>
      </c>
      <c r="K19" s="30" t="str">
        <f>IF($C19&lt;&gt;"",VLOOKUP($C19,授業リスト!$A:$J,9,FALSE),"")</f>
        <v>2～3</v>
      </c>
      <c r="L19" t="s">
        <v>45</v>
      </c>
      <c r="N19" t="str">
        <f>IF($C19&lt;&gt;"",VLOOKUP($C19,授業リスト!$A:$Z,COLUMN(),FALSE),"")</f>
        <v/>
      </c>
      <c r="O19" t="str">
        <f>IF($C19&lt;&gt;"",VLOOKUP($C19,授業リスト!$A:$Z,COLUMN(),FALSE),"")</f>
        <v/>
      </c>
      <c r="P19" t="str">
        <f>IF($C19&lt;&gt;"",VLOOKUP($C19,授業リスト!$A:$Z,COLUMN(),FALSE),"")</f>
        <v/>
      </c>
      <c r="Q19" t="str">
        <f>IF($C19&lt;&gt;"",VLOOKUP($C19,授業リスト!$A:$Z,COLUMN(),FALSE),"")</f>
        <v/>
      </c>
      <c r="R19" t="str">
        <f>IF($C19&lt;&gt;"",VLOOKUP($C19,授業リスト!$A:$Z,COLUMN(),FALSE),"")</f>
        <v/>
      </c>
      <c r="S19" t="str">
        <f>IF($C19&lt;&gt;"",VLOOKUP($C19,授業リスト!$A:$Z,COLUMN(),FALSE),"")</f>
        <v/>
      </c>
      <c r="T19" t="str">
        <f>IF($C19&lt;&gt;"",VLOOKUP($C19,授業リスト!$A:$Z,COLUMN(),FALSE),"")</f>
        <v/>
      </c>
      <c r="U19" t="str">
        <f>IF($C19&lt;&gt;"",VLOOKUP($C19,授業リスト!$A:$Z,COLUMN(),FALSE),"")</f>
        <v>Y</v>
      </c>
      <c r="V19" t="str">
        <f>IF($C19&lt;&gt;"",VLOOKUP($C19,授業リスト!$A:$Z,COLUMN(),FALSE),"")</f>
        <v/>
      </c>
      <c r="W19">
        <f>IF($C19&lt;&gt;"",VLOOKUP($C19,授業リスト!$A:$Z,COLUMN(),FALSE),"")</f>
        <v>0</v>
      </c>
      <c r="X19">
        <f>IF($C19&lt;&gt;"",VLOOKUP($C19,授業リスト!$A:$Z,COLUMN(),FALSE),"")</f>
        <v>0</v>
      </c>
      <c r="Y19">
        <f>IF($C19&lt;&gt;"",VLOOKUP($C19,授業リスト!$A:$Z,COLUMN(),FALSE),"")</f>
        <v>0</v>
      </c>
      <c r="Z19">
        <f>IF($C19&lt;&gt;"",VLOOKUP($C19,授業リスト!$A:$Z,COLUMN(),FALSE),"")</f>
        <v>0</v>
      </c>
    </row>
    <row r="20" spans="1:26">
      <c r="A20">
        <v>4</v>
      </c>
      <c r="B20" t="s">
        <v>47</v>
      </c>
      <c r="C20" s="12">
        <v>37537</v>
      </c>
      <c r="D20" t="str">
        <f>IF($C20&lt;&gt;"",VLOOKUP($C20,授業リスト!$A:$J,2,FALSE),"")</f>
        <v>Japanese History Seminar IV</v>
      </c>
      <c r="E20" t="str">
        <f>IF($C20&lt;&gt;"",VLOOKUP($C20,授業リスト!$A:$J,3,FALSE),"")</f>
        <v/>
      </c>
      <c r="F20" t="str">
        <f>IF($C20&lt;&gt;"",VLOOKUP($C20,授業リスト!$A:$J,8,FALSE),"")</f>
        <v>Henry Ford</v>
      </c>
      <c r="G20">
        <f>IF($C20&lt;&gt;"",VLOOKUP($C20,授業リスト!$A:$J,4,FALSE),"")</f>
        <v>2</v>
      </c>
      <c r="H20" t="str">
        <f>IF($C20&lt;&gt;"",VLOOKUP($C20,授業リスト!$A:$J,5,FALSE),"")</f>
        <v>後</v>
      </c>
      <c r="I20" t="str">
        <f>IF($C20&lt;&gt;"",VLOOKUP($C20,授業リスト!$A:$J,6,FALSE),"")</f>
        <v>月</v>
      </c>
      <c r="J20">
        <f>IF($C20&lt;&gt;"",VLOOKUP($C20,授業リスト!$A:$J,7,FALSE),"")</f>
        <v>5</v>
      </c>
      <c r="K20" s="30" t="str">
        <f>IF($C20&lt;&gt;"",VLOOKUP($C20,授業リスト!$A:$J,9,FALSE),"")</f>
        <v>2～3</v>
      </c>
      <c r="L20" t="s">
        <v>45</v>
      </c>
      <c r="N20" t="str">
        <f>IF($C20&lt;&gt;"",VLOOKUP($C20,授業リスト!$A:$Z,COLUMN(),FALSE),"")</f>
        <v/>
      </c>
      <c r="O20" t="str">
        <f>IF($C20&lt;&gt;"",VLOOKUP($C20,授業リスト!$A:$Z,COLUMN(),FALSE),"")</f>
        <v/>
      </c>
      <c r="P20" t="str">
        <f>IF($C20&lt;&gt;"",VLOOKUP($C20,授業リスト!$A:$Z,COLUMN(),FALSE),"")</f>
        <v/>
      </c>
      <c r="Q20" t="str">
        <f>IF($C20&lt;&gt;"",VLOOKUP($C20,授業リスト!$A:$Z,COLUMN(),FALSE),"")</f>
        <v/>
      </c>
      <c r="R20" t="str">
        <f>IF($C20&lt;&gt;"",VLOOKUP($C20,授業リスト!$A:$Z,COLUMN(),FALSE),"")</f>
        <v/>
      </c>
      <c r="S20" t="str">
        <f>IF($C20&lt;&gt;"",VLOOKUP($C20,授業リスト!$A:$Z,COLUMN(),FALSE),"")</f>
        <v/>
      </c>
      <c r="T20" t="str">
        <f>IF($C20&lt;&gt;"",VLOOKUP($C20,授業リスト!$A:$Z,COLUMN(),FALSE),"")</f>
        <v/>
      </c>
      <c r="U20" t="str">
        <f>IF($C20&lt;&gt;"",VLOOKUP($C20,授業リスト!$A:$Z,COLUMN(),FALSE),"")</f>
        <v>Y</v>
      </c>
      <c r="V20" t="str">
        <f>IF($C20&lt;&gt;"",VLOOKUP($C20,授業リスト!$A:$Z,COLUMN(),FALSE),"")</f>
        <v/>
      </c>
      <c r="W20">
        <f>IF($C20&lt;&gt;"",VLOOKUP($C20,授業リスト!$A:$Z,COLUMN(),FALSE),"")</f>
        <v>0</v>
      </c>
      <c r="X20">
        <f>IF($C20&lt;&gt;"",VLOOKUP($C20,授業リスト!$A:$Z,COLUMN(),FALSE),"")</f>
        <v>0</v>
      </c>
      <c r="Y20">
        <f>IF($C20&lt;&gt;"",VLOOKUP($C20,授業リスト!$A:$Z,COLUMN(),FALSE),"")</f>
        <v>0</v>
      </c>
      <c r="Z20">
        <f>IF($C20&lt;&gt;"",VLOOKUP($C20,授業リスト!$A:$Z,COLUMN(),FALSE),"")</f>
        <v>0</v>
      </c>
    </row>
    <row r="21" spans="1:26">
      <c r="A21">
        <v>4</v>
      </c>
      <c r="B21" t="s">
        <v>47</v>
      </c>
      <c r="C21" s="12">
        <v>38019</v>
      </c>
      <c r="D21" t="str">
        <f>IF($C21&lt;&gt;"",VLOOKUP($C21,授業リスト!$A:$J,2,FALSE),"")</f>
        <v>Graduation Research</v>
      </c>
      <c r="E21">
        <f>IF($C21&lt;&gt;"",VLOOKUP($C21,授業リスト!$A:$J,3,FALSE),"")</f>
        <v>0</v>
      </c>
      <c r="F21" t="str">
        <f>IF($C21&lt;&gt;"",VLOOKUP($C21,授業リスト!$A:$J,8,FALSE),"")</f>
        <v>Antoine de Saint-Exupéry</v>
      </c>
      <c r="G21">
        <f>IF($C21&lt;&gt;"",VLOOKUP($C21,授業リスト!$A:$J,4,FALSE),"")</f>
        <v>4</v>
      </c>
      <c r="H21">
        <f>IF($C21&lt;&gt;"",VLOOKUP($C21,授業リスト!$A:$J,5,FALSE),"")</f>
        <v>0</v>
      </c>
      <c r="I21" t="str">
        <f>IF($C21&lt;&gt;"",VLOOKUP($C21,授業リスト!$A:$J,6,FALSE),"")</f>
        <v>不定期</v>
      </c>
      <c r="J21">
        <f>IF($C21&lt;&gt;"",VLOOKUP($C21,授業リスト!$A:$J,7,FALSE),"")</f>
        <v>0</v>
      </c>
      <c r="K21" s="30">
        <f>IF($C21&lt;&gt;"",VLOOKUP($C21,授業リスト!$A:$J,9,FALSE),"")</f>
        <v>4</v>
      </c>
      <c r="L21" t="s">
        <v>46</v>
      </c>
      <c r="N21" t="str">
        <f>IF($C21&lt;&gt;"",VLOOKUP($C21,授業リスト!$A:$Z,COLUMN(),FALSE),"")</f>
        <v/>
      </c>
      <c r="O21" t="str">
        <f>IF($C21&lt;&gt;"",VLOOKUP($C21,授業リスト!$A:$Z,COLUMN(),FALSE),"")</f>
        <v>Y</v>
      </c>
      <c r="P21" t="str">
        <f>IF($C21&lt;&gt;"",VLOOKUP($C21,授業リスト!$A:$Z,COLUMN(),FALSE),"")</f>
        <v/>
      </c>
      <c r="Q21" t="str">
        <f>IF($C21&lt;&gt;"",VLOOKUP($C21,授業リスト!$A:$Z,COLUMN(),FALSE),"")</f>
        <v/>
      </c>
      <c r="R21" t="str">
        <f>IF($C21&lt;&gt;"",VLOOKUP($C21,授業リスト!$A:$Z,COLUMN(),FALSE),"")</f>
        <v/>
      </c>
      <c r="S21" t="str">
        <f>IF($C21&lt;&gt;"",VLOOKUP($C21,授業リスト!$A:$Z,COLUMN(),FALSE),"")</f>
        <v/>
      </c>
      <c r="T21" t="str">
        <f>IF($C21&lt;&gt;"",VLOOKUP($C21,授業リスト!$A:$Z,COLUMN(),FALSE),"")</f>
        <v>Y</v>
      </c>
      <c r="U21" t="str">
        <f>IF($C21&lt;&gt;"",VLOOKUP($C21,授業リスト!$A:$Z,COLUMN(),FALSE),"")</f>
        <v>Y</v>
      </c>
      <c r="V21" t="str">
        <f>IF($C21&lt;&gt;"",VLOOKUP($C21,授業リスト!$A:$Z,COLUMN(),FALSE),"")</f>
        <v>Y</v>
      </c>
      <c r="W21">
        <f>IF($C21&lt;&gt;"",VLOOKUP($C21,授業リスト!$A:$Z,COLUMN(),FALSE),"")</f>
        <v>0</v>
      </c>
      <c r="X21">
        <f>IF($C21&lt;&gt;"",VLOOKUP($C21,授業リスト!$A:$Z,COLUMN(),FALSE),"")</f>
        <v>0</v>
      </c>
      <c r="Y21">
        <f>IF($C21&lt;&gt;"",VLOOKUP($C21,授業リスト!$A:$Z,COLUMN(),FALSE),"")</f>
        <v>0</v>
      </c>
      <c r="Z21">
        <f>IF($C21&lt;&gt;"",VLOOKUP($C21,授業リスト!$A:$Z,COLUMN(),FALSE),"")</f>
        <v>0</v>
      </c>
    </row>
    <row r="22" spans="1:26">
      <c r="A22" s="37">
        <v>4</v>
      </c>
      <c r="B22" s="37" t="s">
        <v>69</v>
      </c>
      <c r="C22" s="39">
        <v>37518</v>
      </c>
      <c r="D22" s="37" t="str">
        <f>IF($C22&lt;&gt;"",VLOOKUP($C22,授業リスト!$A:$J,2,FALSE),"")</f>
        <v>Special Lecture on Law</v>
      </c>
      <c r="E22" s="37" t="str">
        <f>IF($C22&lt;&gt;"",VLOOKUP($C22,授業リスト!$A:$J,3,FALSE),"")</f>
        <v/>
      </c>
      <c r="F22" s="37" t="str">
        <f>IF($C22&lt;&gt;"",VLOOKUP($C22,授業リスト!$A:$J,8,FALSE),"")</f>
        <v>Leo Tolstoy</v>
      </c>
      <c r="G22" s="37">
        <f>IF($C22&lt;&gt;"",VLOOKUP($C22,授業リスト!$A:$J,4,FALSE),"")</f>
        <v>2</v>
      </c>
      <c r="H22" s="37" t="str">
        <f>IF($C22&lt;&gt;"",VLOOKUP($C22,授業リスト!$A:$J,5,FALSE),"")</f>
        <v>前</v>
      </c>
      <c r="I22" s="37" t="str">
        <f>IF($C22&lt;&gt;"",VLOOKUP($C22,授業リスト!$A:$J,6,FALSE),"")</f>
        <v>木</v>
      </c>
      <c r="J22" s="37">
        <f>IF($C22&lt;&gt;"",VLOOKUP($C22,授業リスト!$A:$J,7,FALSE),"")</f>
        <v>3</v>
      </c>
      <c r="K22" s="38" t="str">
        <f>IF($C22&lt;&gt;"",VLOOKUP($C22,授業リスト!$A:$J,9,FALSE),"")</f>
        <v>2～3</v>
      </c>
      <c r="L22" t="s">
        <v>45</v>
      </c>
      <c r="N22" t="str">
        <f>IF($C22&lt;&gt;"",VLOOKUP($C22,授業リスト!$A:$Z,COLUMN(),FALSE),"")</f>
        <v/>
      </c>
      <c r="O22" t="str">
        <f>IF($C22&lt;&gt;"",VLOOKUP($C22,授業リスト!$A:$Z,COLUMN(),FALSE),"")</f>
        <v/>
      </c>
      <c r="P22" t="str">
        <f>IF($C22&lt;&gt;"",VLOOKUP($C22,授業リスト!$A:$Z,COLUMN(),FALSE),"")</f>
        <v/>
      </c>
      <c r="Q22" t="str">
        <f>IF($C22&lt;&gt;"",VLOOKUP($C22,授業リスト!$A:$Z,COLUMN(),FALSE),"")</f>
        <v/>
      </c>
      <c r="R22" t="str">
        <f>IF($C22&lt;&gt;"",VLOOKUP($C22,授業リスト!$A:$Z,COLUMN(),FALSE),"")</f>
        <v/>
      </c>
      <c r="S22" t="str">
        <f>IF($C22&lt;&gt;"",VLOOKUP($C22,授業リスト!$A:$Z,COLUMN(),FALSE),"")</f>
        <v/>
      </c>
      <c r="T22" t="str">
        <f>IF($C22&lt;&gt;"",VLOOKUP($C22,授業リスト!$A:$Z,COLUMN(),FALSE),"")</f>
        <v/>
      </c>
      <c r="U22" t="str">
        <f>IF($C22&lt;&gt;"",VLOOKUP($C22,授業リスト!$A:$Z,COLUMN(),FALSE),"")</f>
        <v>Y</v>
      </c>
      <c r="V22" t="str">
        <f>IF($C22&lt;&gt;"",VLOOKUP($C22,授業リスト!$A:$Z,COLUMN(),FALSE),"")</f>
        <v/>
      </c>
      <c r="W22">
        <f>IF($C22&lt;&gt;"",VLOOKUP($C22,授業リスト!$A:$Z,COLUMN(),FALSE),"")</f>
        <v>0</v>
      </c>
      <c r="X22">
        <f>IF($C22&lt;&gt;"",VLOOKUP($C22,授業リスト!$A:$Z,COLUMN(),FALSE),"")</f>
        <v>0</v>
      </c>
      <c r="Y22">
        <f>IF($C22&lt;&gt;"",VLOOKUP($C22,授業リスト!$A:$Z,COLUMN(),FALSE),"")</f>
        <v>0</v>
      </c>
      <c r="Z22">
        <f>IF($C22&lt;&gt;"",VLOOKUP($C22,授業リスト!$A:$Z,COLUMN(),FALSE),"")</f>
        <v>0</v>
      </c>
    </row>
  </sheetData>
  <mergeCells count="2">
    <mergeCell ref="A1:B1"/>
    <mergeCell ref="K1:N1"/>
  </mergeCells>
  <phoneticPr fontId="6"/>
  <conditionalFormatting sqref="H2">
    <cfRule type="containsText" dxfId="20" priority="21" operator="containsText" text="後">
      <formula>NOT(ISERROR(SEARCH("後",H2)))</formula>
    </cfRule>
  </conditionalFormatting>
  <conditionalFormatting sqref="H3">
    <cfRule type="containsText" dxfId="19" priority="20" operator="containsText" text="後">
      <formula>NOT(ISERROR(SEARCH("後",H3)))</formula>
    </cfRule>
  </conditionalFormatting>
  <conditionalFormatting sqref="H4">
    <cfRule type="containsText" dxfId="18" priority="19" operator="containsText" text="後">
      <formula>NOT(ISERROR(SEARCH("後",H4)))</formula>
    </cfRule>
  </conditionalFormatting>
  <conditionalFormatting sqref="H5">
    <cfRule type="containsText" dxfId="17" priority="18" operator="containsText" text="後">
      <formula>NOT(ISERROR(SEARCH("後",H5)))</formula>
    </cfRule>
  </conditionalFormatting>
  <conditionalFormatting sqref="H6">
    <cfRule type="containsText" dxfId="16" priority="17" operator="containsText" text="前">
      <formula>NOT(ISERROR(SEARCH("前",H6)))</formula>
    </cfRule>
  </conditionalFormatting>
  <conditionalFormatting sqref="H7">
    <cfRule type="containsText" dxfId="15" priority="16" operator="containsText" text="前">
      <formula>NOT(ISERROR(SEARCH("前",H7)))</formula>
    </cfRule>
  </conditionalFormatting>
  <conditionalFormatting sqref="H8">
    <cfRule type="containsText" dxfId="14" priority="15" operator="containsText" text="後">
      <formula>NOT(ISERROR(SEARCH("後",H8)))</formula>
    </cfRule>
  </conditionalFormatting>
  <conditionalFormatting sqref="H9">
    <cfRule type="containsText" dxfId="13" priority="14" operator="containsText" text="後">
      <formula>NOT(ISERROR(SEARCH("後",H9)))</formula>
    </cfRule>
  </conditionalFormatting>
  <conditionalFormatting sqref="H10">
    <cfRule type="containsText" dxfId="12" priority="13" operator="containsText" text="後">
      <formula>NOT(ISERROR(SEARCH("後",H10)))</formula>
    </cfRule>
  </conditionalFormatting>
  <conditionalFormatting sqref="H11">
    <cfRule type="containsText" dxfId="11" priority="12" operator="containsText" text="後">
      <formula>NOT(ISERROR(SEARCH("後",H11)))</formula>
    </cfRule>
  </conditionalFormatting>
  <conditionalFormatting sqref="H12">
    <cfRule type="containsText" dxfId="10" priority="11" operator="containsText" text="後">
      <formula>NOT(ISERROR(SEARCH("後",H12)))</formula>
    </cfRule>
  </conditionalFormatting>
  <conditionalFormatting sqref="H13">
    <cfRule type="containsText" dxfId="9" priority="10" operator="containsText" text="前">
      <formula>NOT(ISERROR(SEARCH("前",H13)))</formula>
    </cfRule>
  </conditionalFormatting>
  <conditionalFormatting sqref="H14">
    <cfRule type="containsText" dxfId="8" priority="9" operator="containsText" text="前">
      <formula>NOT(ISERROR(SEARCH("前",H14)))</formula>
    </cfRule>
  </conditionalFormatting>
  <conditionalFormatting sqref="H15">
    <cfRule type="containsText" dxfId="7" priority="8" operator="containsText" text="後">
      <formula>NOT(ISERROR(SEARCH("後",H15)))</formula>
    </cfRule>
  </conditionalFormatting>
  <conditionalFormatting sqref="H16">
    <cfRule type="containsText" dxfId="6" priority="7" operator="containsText" text="後">
      <formula>NOT(ISERROR(SEARCH("後",H16)))</formula>
    </cfRule>
  </conditionalFormatting>
  <conditionalFormatting sqref="H17">
    <cfRule type="containsText" dxfId="5" priority="6" operator="containsText" text="後">
      <formula>NOT(ISERROR(SEARCH("後",H17)))</formula>
    </cfRule>
  </conditionalFormatting>
  <conditionalFormatting sqref="H18">
    <cfRule type="containsText" dxfId="4" priority="5" operator="containsText" text="後">
      <formula>NOT(ISERROR(SEARCH("後",H18)))</formula>
    </cfRule>
  </conditionalFormatting>
  <conditionalFormatting sqref="H19">
    <cfRule type="containsText" dxfId="3" priority="4" operator="containsText" text="前">
      <formula>NOT(ISERROR(SEARCH("前",H19)))</formula>
    </cfRule>
  </conditionalFormatting>
  <conditionalFormatting sqref="H20">
    <cfRule type="containsText" dxfId="2" priority="3" operator="containsText" text="前">
      <formula>NOT(ISERROR(SEARCH("前",H20)))</formula>
    </cfRule>
  </conditionalFormatting>
  <conditionalFormatting sqref="H21">
    <cfRule type="containsText" dxfId="1" priority="2" operator="containsText" text="前">
      <formula>NOT(ISERROR(SEARCH("前",H21)))</formula>
    </cfRule>
  </conditionalFormatting>
  <conditionalFormatting sqref="H22">
    <cfRule type="containsText" dxfId="0" priority="1" operator="containsText" text="前">
      <formula>NOT(ISERROR(SEARCH("前",H22)))</formula>
    </cfRule>
  </conditionalFormatting>
  <pageMargins left="0.7" right="0.7" top="0.75" bottom="0.75" header="0.3" footer="0.3"/>
  <pageSetup paperSize="9" scale="69" orientation="portrait" horizontalDpi="4294967292" verticalDpi="4294967292" r:id="rId1"/>
  <colBreaks count="1" manualBreakCount="1">
    <brk id="1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JLookup</vt:lpstr>
      <vt:lpstr>Real Course List</vt:lpstr>
      <vt:lpstr>専攻一覧</vt:lpstr>
      <vt:lpstr>教育実習（小）</vt:lpstr>
      <vt:lpstr>1Screen</vt:lpstr>
      <vt:lpstr>授業リスト</vt:lpstr>
      <vt:lpstr>Log</vt:lpstr>
      <vt:lpstr>教養科目</vt:lpstr>
      <vt:lpstr>教育実習（中）</vt:lpstr>
      <vt:lpstr>実践教育科目</vt:lpstr>
      <vt:lpstr>教育学</vt:lpstr>
      <vt:lpstr>教育実践フィールド科目</vt:lpstr>
      <vt:lpstr>英語専攻</vt:lpstr>
      <vt:lpstr>理科専攻</vt:lpstr>
      <vt:lpstr>社会専攻</vt:lpstr>
      <vt:lpstr>小学校免許</vt:lpstr>
      <vt:lpstr>特例</vt:lpstr>
      <vt:lpstr>'1Screen'!Print_Titles</vt:lpstr>
    </vt:vector>
  </TitlesOfParts>
  <Company>北海道教育大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Komasinski Andrew</dc:creator>
  <cp:lastModifiedBy>Microsoft Office User</cp:lastModifiedBy>
  <cp:lastPrinted>2018-05-10T07:10:57Z</cp:lastPrinted>
  <dcterms:created xsi:type="dcterms:W3CDTF">2016-03-07T09:31:45Z</dcterms:created>
  <dcterms:modified xsi:type="dcterms:W3CDTF">2023-09-12T13:04:13Z</dcterms:modified>
</cp:coreProperties>
</file>